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0" yWindow="90" windowWidth="14940" windowHeight="11160" tabRatio="757" activeTab="2"/>
  </bookViews>
  <sheets>
    <sheet name="VanillaOption" sheetId="1" r:id="rId1"/>
    <sheet name="BarrierOption" sheetId="24" r:id="rId2"/>
    <sheet name="1StockSD_LB(KI)" sheetId="2" r:id="rId3"/>
    <sheet name="1StockSD_NoKI" sheetId="14" r:id="rId4"/>
    <sheet name="1StockSD_LBCoupon" sheetId="15" r:id="rId5"/>
    <sheet name="1StockSD_LBPG(KI)" sheetId="16" r:id="rId6"/>
    <sheet name="1StockSD_LBUB" sheetId="17" r:id="rId7"/>
    <sheet name="2StockSD_LB(KI)" sheetId="19" r:id="rId8"/>
    <sheet name="2StockSD_NoKI" sheetId="20" r:id="rId9"/>
    <sheet name="2StockSD_LBCoupon" sheetId="21" r:id="rId10"/>
    <sheet name="2StockSD_LBPG(KI)" sheetId="22" r:id="rId11"/>
    <sheet name="UOCall_Rebate" sheetId="26" r:id="rId12"/>
    <sheet name="DOPut_Rebate" sheetId="27" r:id="rId13"/>
  </sheets>
  <functionGroups builtInGroupCount="17"/>
  <calcPr calcId="145621"/>
</workbook>
</file>

<file path=xl/calcChain.xml><?xml version="1.0" encoding="utf-8"?>
<calcChain xmlns="http://schemas.openxmlformats.org/spreadsheetml/2006/main">
  <c r="AO9" i="21" l="1"/>
  <c r="AN9" i="21"/>
  <c r="AM9" i="21"/>
  <c r="AL9" i="21"/>
  <c r="AK9" i="21"/>
  <c r="AJ9" i="21"/>
  <c r="AI9" i="21"/>
  <c r="AH9" i="21"/>
  <c r="AG9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L9" i="15" l="1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G9" i="15"/>
  <c r="H9" i="15"/>
  <c r="I9" i="15"/>
  <c r="J9" i="15"/>
  <c r="K9" i="15"/>
  <c r="F9" i="15"/>
</calcChain>
</file>

<file path=xl/sharedStrings.xml><?xml version="1.0" encoding="utf-8"?>
<sst xmlns="http://schemas.openxmlformats.org/spreadsheetml/2006/main" count="615" uniqueCount="99">
  <si>
    <t>IssueDate</t>
  </si>
  <si>
    <t>MaturityDate</t>
  </si>
  <si>
    <t>NotionalAmount</t>
  </si>
  <si>
    <t>ProductCode</t>
  </si>
  <si>
    <t>ProductName</t>
  </si>
  <si>
    <t>QuotePrice</t>
  </si>
  <si>
    <t>RemainingAmount</t>
  </si>
  <si>
    <t>결과</t>
    <phoneticPr fontId="1" type="noConversion"/>
  </si>
  <si>
    <t>Delta</t>
    <phoneticPr fontId="1" type="noConversion"/>
  </si>
  <si>
    <t>Gamma</t>
    <phoneticPr fontId="1" type="noConversion"/>
  </si>
  <si>
    <t>Rho</t>
    <phoneticPr fontId="1" type="noConversion"/>
  </si>
  <si>
    <t>Theta</t>
    <phoneticPr fontId="1" type="noConversion"/>
  </si>
  <si>
    <t>Value</t>
    <phoneticPr fontId="1" type="noConversion"/>
  </si>
  <si>
    <t>Vega</t>
    <phoneticPr fontId="1" type="noConversion"/>
  </si>
  <si>
    <t>계산 모형 설정 정보</t>
    <phoneticPr fontId="1" type="noConversion"/>
  </si>
  <si>
    <t>상품 정보</t>
    <phoneticPr fontId="1" type="noConversion"/>
  </si>
  <si>
    <t>Strike</t>
    <phoneticPr fontId="1" type="noConversion"/>
  </si>
  <si>
    <t>CouponRate</t>
    <phoneticPr fontId="1" type="noConversion"/>
  </si>
  <si>
    <t>interestRate</t>
    <phoneticPr fontId="1" type="noConversion"/>
  </si>
  <si>
    <t>ELS2006-1</t>
    <phoneticPr fontId="1" type="noConversion"/>
  </si>
  <si>
    <t>OneStockStepDownLB</t>
    <phoneticPr fontId="1" type="noConversion"/>
  </si>
  <si>
    <t>sell</t>
    <phoneticPr fontId="1" type="noConversion"/>
  </si>
  <si>
    <t>RedemptionStatus 
(notArrived | redeemed)</t>
    <phoneticPr fontId="1" type="noConversion"/>
  </si>
  <si>
    <t>KIBarrier</t>
  </si>
  <si>
    <t>한화ELS2006-1</t>
    <phoneticPr fontId="1" type="noConversion"/>
  </si>
  <si>
    <t>notArrived</t>
    <phoneticPr fontId="1" type="noConversion"/>
  </si>
  <si>
    <t>NofAutocall</t>
    <phoneticPr fontId="1" type="noConversion"/>
  </si>
  <si>
    <t>KOSPI200</t>
    <phoneticPr fontId="1" type="noConversion"/>
  </si>
  <si>
    <t>UnderlyerName1</t>
    <phoneticPr fontId="1" type="noConversion"/>
  </si>
  <si>
    <t>NofUnderlyer</t>
    <phoneticPr fontId="1" type="noConversion"/>
  </si>
  <si>
    <t>ProductType (코드)</t>
    <phoneticPr fontId="1" type="noConversion"/>
  </si>
  <si>
    <t>targetData</t>
    <phoneticPr fontId="1" type="noConversion"/>
  </si>
  <si>
    <t>PositionStatus (buy|sell)</t>
    <phoneticPr fontId="1" type="noConversion"/>
  </si>
  <si>
    <t>volatility1</t>
    <phoneticPr fontId="1" type="noConversion"/>
  </si>
  <si>
    <t>dividend1</t>
    <phoneticPr fontId="1" type="noConversion"/>
  </si>
  <si>
    <t>underlyer1SpotPrice</t>
    <phoneticPr fontId="1" type="noConversion"/>
  </si>
  <si>
    <t>Rebate</t>
    <phoneticPr fontId="1" type="noConversion"/>
  </si>
  <si>
    <t>lowerBoundTouched</t>
    <phoneticPr fontId="1" type="noConversion"/>
  </si>
  <si>
    <t>upperBoundTouched</t>
    <phoneticPr fontId="1" type="noConversion"/>
  </si>
  <si>
    <t>N/A</t>
    <phoneticPr fontId="1" type="noConversion"/>
  </si>
  <si>
    <t>NofGgrid1</t>
  </si>
  <si>
    <t>Redemption Date</t>
    <phoneticPr fontId="1" type="noConversion"/>
  </si>
  <si>
    <t>Coupon Strike</t>
    <phoneticPr fontId="1" type="noConversion"/>
  </si>
  <si>
    <t>Fixing Date</t>
    <phoneticPr fontId="1" type="noConversion"/>
  </si>
  <si>
    <t>NofCouponPayment</t>
    <phoneticPr fontId="1" type="noConversion"/>
  </si>
  <si>
    <t>N/A</t>
    <phoneticPr fontId="1" type="noConversion"/>
  </si>
  <si>
    <t>Term Coupon Rate</t>
    <phoneticPr fontId="1" type="noConversion"/>
  </si>
  <si>
    <t>Term Coupon Rate</t>
    <phoneticPr fontId="1" type="noConversion"/>
  </si>
  <si>
    <t>Installment Cpn Rate</t>
    <phoneticPr fontId="1" type="noConversion"/>
  </si>
  <si>
    <t>PrincipalGLevel</t>
    <phoneticPr fontId="1" type="noConversion"/>
  </si>
  <si>
    <t>KOBarrier</t>
    <phoneticPr fontId="1" type="noConversion"/>
  </si>
  <si>
    <t>N/A</t>
    <phoneticPr fontId="1" type="noConversion"/>
  </si>
  <si>
    <t>UnderlyerName2</t>
  </si>
  <si>
    <t>HSCEI</t>
    <phoneticPr fontId="1" type="noConversion"/>
  </si>
  <si>
    <t>TwoStockStepDownLB</t>
    <phoneticPr fontId="1" type="noConversion"/>
  </si>
  <si>
    <t>correlation</t>
    <phoneticPr fontId="1" type="noConversion"/>
  </si>
  <si>
    <t>volatility2</t>
  </si>
  <si>
    <t>dividend2</t>
  </si>
  <si>
    <t>underlyer2SpotPrice</t>
  </si>
  <si>
    <t>Delta1</t>
    <phoneticPr fontId="1" type="noConversion"/>
  </si>
  <si>
    <t>Delta2</t>
  </si>
  <si>
    <t>Gamma1</t>
    <phoneticPr fontId="1" type="noConversion"/>
  </si>
  <si>
    <t>Gamma2</t>
  </si>
  <si>
    <t>CrossGamma</t>
    <phoneticPr fontId="1" type="noConversion"/>
  </si>
  <si>
    <t>Vega1</t>
    <phoneticPr fontId="1" type="noConversion"/>
  </si>
  <si>
    <t>Vega2</t>
  </si>
  <si>
    <t>NofGgrid2</t>
  </si>
  <si>
    <t>HSCEI</t>
    <phoneticPr fontId="1" type="noConversion"/>
  </si>
  <si>
    <t>TwoStockStepDownNoKI</t>
    <phoneticPr fontId="1" type="noConversion"/>
  </si>
  <si>
    <t>OneStockStepDownNoKI</t>
    <phoneticPr fontId="1" type="noConversion"/>
  </si>
  <si>
    <t>HSCEI</t>
    <phoneticPr fontId="1" type="noConversion"/>
  </si>
  <si>
    <t>TwoStockStepDownLBCoupon</t>
    <phoneticPr fontId="1" type="noConversion"/>
  </si>
  <si>
    <t>OneStockStepDownLBCoupon</t>
    <phoneticPr fontId="1" type="noConversion"/>
  </si>
  <si>
    <t>HSCEI</t>
    <phoneticPr fontId="1" type="noConversion"/>
  </si>
  <si>
    <t>TwoStockStepDownLBPG</t>
    <phoneticPr fontId="1" type="noConversion"/>
  </si>
  <si>
    <t>OneStockStepDownLBPG</t>
    <phoneticPr fontId="1" type="noConversion"/>
  </si>
  <si>
    <t>OPT2006-1</t>
    <phoneticPr fontId="1" type="noConversion"/>
  </si>
  <si>
    <t>헤지OPT2006-1</t>
    <phoneticPr fontId="1" type="noConversion"/>
  </si>
  <si>
    <t>PlaneVanilla</t>
  </si>
  <si>
    <t>UnderlyerName</t>
    <phoneticPr fontId="1" type="noConversion"/>
  </si>
  <si>
    <t>Put/Call</t>
    <phoneticPr fontId="1" type="noConversion"/>
  </si>
  <si>
    <t>ExercisePrice</t>
    <phoneticPr fontId="1" type="noConversion"/>
  </si>
  <si>
    <t>volatility</t>
    <phoneticPr fontId="1" type="noConversion"/>
  </si>
  <si>
    <t>dividend</t>
    <phoneticPr fontId="1" type="noConversion"/>
  </si>
  <si>
    <t>underlyerSpotPrice</t>
    <phoneticPr fontId="1" type="noConversion"/>
  </si>
  <si>
    <t>Call</t>
    <phoneticPr fontId="1" type="noConversion"/>
  </si>
  <si>
    <t>Multiplier</t>
    <phoneticPr fontId="1" type="noConversion"/>
  </si>
  <si>
    <t>ProductType (코드)</t>
  </si>
  <si>
    <t>BarrierOption</t>
    <phoneticPr fontId="1" type="noConversion"/>
  </si>
  <si>
    <t>BarrierType (DI|DO|UI|UO)</t>
    <phoneticPr fontId="1" type="noConversion"/>
  </si>
  <si>
    <t>DI</t>
    <phoneticPr fontId="1" type="noConversion"/>
  </si>
  <si>
    <t>BarrierLevel</t>
    <phoneticPr fontId="1" type="noConversion"/>
  </si>
  <si>
    <t>ArrivalStatus 
(notTouched | touched)</t>
    <phoneticPr fontId="1" type="noConversion"/>
  </si>
  <si>
    <t>notTouched</t>
    <phoneticPr fontId="1" type="noConversion"/>
  </si>
  <si>
    <t>UpOutCall+Rebate</t>
    <phoneticPr fontId="1" type="noConversion"/>
  </si>
  <si>
    <t>ArrivalStatus 
(notTouched | touched)</t>
    <phoneticPr fontId="1" type="noConversion"/>
  </si>
  <si>
    <t>ExcerciseLevel</t>
    <phoneticPr fontId="1" type="noConversion"/>
  </si>
  <si>
    <t>ParticipationRate</t>
    <phoneticPr fontId="1" type="noConversion"/>
  </si>
  <si>
    <t>DownOutPut+Rebate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</si>
</sst>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10" fontId="2" fillId="0" borderId="0" xfId="0" applyNumberFormat="1" applyFont="1">
      <alignment vertical="center"/>
    </xf>
    <xf numFmtId="0" fontId="2" fillId="0" borderId="1" xfId="0" applyFont="1" applyBorder="1">
      <alignment vertical="center"/>
    </xf>
    <xf numFmtId="14" fontId="2" fillId="0" borderId="2" xfId="0" applyNumberFormat="1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>
      <alignment vertical="center"/>
    </xf>
    <xf numFmtId="14" fontId="2" fillId="0" borderId="4" xfId="0" applyNumberFormat="1" applyFont="1" applyBorder="1">
      <alignment vertical="center"/>
    </xf>
    <xf numFmtId="41" fontId="2" fillId="0" borderId="4" xfId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41" fontId="2" fillId="0" borderId="6" xfId="1" applyFont="1" applyBorder="1">
      <alignment vertical="center"/>
    </xf>
    <xf numFmtId="0" fontId="2" fillId="0" borderId="7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0" xfId="0" applyFont="1" applyBorder="1">
      <alignment vertical="center"/>
    </xf>
    <xf numFmtId="14" fontId="2" fillId="0" borderId="8" xfId="0" applyNumberFormat="1" applyFont="1" applyBorder="1">
      <alignment vertical="center"/>
    </xf>
    <xf numFmtId="14" fontId="2" fillId="0" borderId="6" xfId="0" applyNumberFormat="1" applyFont="1" applyBorder="1">
      <alignment vertical="center"/>
    </xf>
    <xf numFmtId="0" fontId="2" fillId="0" borderId="7" xfId="0" applyFont="1" applyFill="1" applyBorder="1">
      <alignment vertical="center"/>
    </xf>
    <xf numFmtId="0" fontId="2" fillId="0" borderId="2" xfId="0" applyFont="1" applyFill="1" applyBorder="1">
      <alignment vertical="center"/>
    </xf>
    <xf numFmtId="9" fontId="2" fillId="0" borderId="4" xfId="1" applyNumberFormat="1" applyFont="1" applyBorder="1">
      <alignment vertical="center"/>
    </xf>
    <xf numFmtId="0" fontId="2" fillId="0" borderId="5" xfId="0" applyFont="1" applyBorder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9</xdr:row>
      <xdr:rowOff>9525</xdr:rowOff>
    </xdr:from>
    <xdr:to>
      <xdr:col>5</xdr:col>
      <xdr:colOff>485775</xdr:colOff>
      <xdr:row>11</xdr:row>
      <xdr:rowOff>57150</xdr:rowOff>
    </xdr:to>
    <xdr:sp macro="[0]!Sheet01.VanillaOption" textlink="">
      <xdr:nvSpPr>
        <xdr:cNvPr id="2" name="TextBox 1"/>
        <xdr:cNvSpPr txBox="1"/>
      </xdr:nvSpPr>
      <xdr:spPr>
        <a:xfrm>
          <a:off x="3514725" y="1781175"/>
          <a:ext cx="1028700" cy="39052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11</xdr:row>
      <xdr:rowOff>9525</xdr:rowOff>
    </xdr:from>
    <xdr:to>
      <xdr:col>5</xdr:col>
      <xdr:colOff>485775</xdr:colOff>
      <xdr:row>13</xdr:row>
      <xdr:rowOff>57150</xdr:rowOff>
    </xdr:to>
    <xdr:sp macro="[0]!Sheet02.BarrierOption" textlink="">
      <xdr:nvSpPr>
        <xdr:cNvPr id="2" name="TextBox 1"/>
        <xdr:cNvSpPr txBox="1"/>
      </xdr:nvSpPr>
      <xdr:spPr>
        <a:xfrm>
          <a:off x="3514725" y="1609725"/>
          <a:ext cx="1028700" cy="39052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12</xdr:row>
      <xdr:rowOff>38099</xdr:rowOff>
    </xdr:from>
    <xdr:to>
      <xdr:col>5</xdr:col>
      <xdr:colOff>381000</xdr:colOff>
      <xdr:row>14</xdr:row>
      <xdr:rowOff>66674</xdr:rowOff>
    </xdr:to>
    <xdr:sp macro="[0]!Sheet11.OneStockStepDownLB" textlink="">
      <xdr:nvSpPr>
        <xdr:cNvPr id="2" name="TextBox 1"/>
        <xdr:cNvSpPr txBox="1"/>
      </xdr:nvSpPr>
      <xdr:spPr>
        <a:xfrm>
          <a:off x="3486150" y="2581274"/>
          <a:ext cx="1609725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15</xdr:row>
      <xdr:rowOff>152399</xdr:rowOff>
    </xdr:from>
    <xdr:to>
      <xdr:col>5</xdr:col>
      <xdr:colOff>352425</xdr:colOff>
      <xdr:row>17</xdr:row>
      <xdr:rowOff>47624</xdr:rowOff>
    </xdr:to>
    <xdr:sp macro="[0]!Sheet12.OneStockStepDownNoKI" textlink="">
      <xdr:nvSpPr>
        <xdr:cNvPr id="2" name="TextBox 1"/>
        <xdr:cNvSpPr txBox="1"/>
      </xdr:nvSpPr>
      <xdr:spPr>
        <a:xfrm>
          <a:off x="3457575" y="3324224"/>
          <a:ext cx="1609725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15</xdr:row>
      <xdr:rowOff>190499</xdr:rowOff>
    </xdr:from>
    <xdr:to>
      <xdr:col>5</xdr:col>
      <xdr:colOff>371475</xdr:colOff>
      <xdr:row>17</xdr:row>
      <xdr:rowOff>95250</xdr:rowOff>
    </xdr:to>
    <xdr:sp macro="[0]!Sheet13.OneStockStepDownLBCoupon" textlink="">
      <xdr:nvSpPr>
        <xdr:cNvPr id="2" name="TextBox 1"/>
        <xdr:cNvSpPr txBox="1"/>
      </xdr:nvSpPr>
      <xdr:spPr>
        <a:xfrm>
          <a:off x="3476625" y="3381374"/>
          <a:ext cx="1609725" cy="457201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15</xdr:row>
      <xdr:rowOff>152399</xdr:rowOff>
    </xdr:from>
    <xdr:to>
      <xdr:col>5</xdr:col>
      <xdr:colOff>371475</xdr:colOff>
      <xdr:row>17</xdr:row>
      <xdr:rowOff>85725</xdr:rowOff>
    </xdr:to>
    <xdr:sp macro="[0]!Sheet14.OneStockStepDownLBPG" textlink="">
      <xdr:nvSpPr>
        <xdr:cNvPr id="2" name="TextBox 1"/>
        <xdr:cNvSpPr txBox="1"/>
      </xdr:nvSpPr>
      <xdr:spPr>
        <a:xfrm>
          <a:off x="3476625" y="3324224"/>
          <a:ext cx="1609725" cy="485776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15</xdr:row>
      <xdr:rowOff>95249</xdr:rowOff>
    </xdr:from>
    <xdr:to>
      <xdr:col>5</xdr:col>
      <xdr:colOff>361950</xdr:colOff>
      <xdr:row>17</xdr:row>
      <xdr:rowOff>19050</xdr:rowOff>
    </xdr:to>
    <xdr:sp macro="[0]!Sheet15.OneStockStepDownLBUB" textlink="">
      <xdr:nvSpPr>
        <xdr:cNvPr id="2" name="TextBox 1"/>
        <xdr:cNvSpPr txBox="1"/>
      </xdr:nvSpPr>
      <xdr:spPr>
        <a:xfrm>
          <a:off x="3467100" y="3267074"/>
          <a:ext cx="1609725" cy="476251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16</xdr:row>
      <xdr:rowOff>171449</xdr:rowOff>
    </xdr:from>
    <xdr:to>
      <xdr:col>5</xdr:col>
      <xdr:colOff>371475</xdr:colOff>
      <xdr:row>18</xdr:row>
      <xdr:rowOff>66674</xdr:rowOff>
    </xdr:to>
    <xdr:sp macro="[0]!Sheet20.TwoStockStepDownLB" textlink="">
      <xdr:nvSpPr>
        <xdr:cNvPr id="2" name="TextBox 1"/>
        <xdr:cNvSpPr txBox="1"/>
      </xdr:nvSpPr>
      <xdr:spPr>
        <a:xfrm>
          <a:off x="3476625" y="3552824"/>
          <a:ext cx="1609725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16</xdr:row>
      <xdr:rowOff>161924</xdr:rowOff>
    </xdr:from>
    <xdr:to>
      <xdr:col>5</xdr:col>
      <xdr:colOff>390525</xdr:colOff>
      <xdr:row>18</xdr:row>
      <xdr:rowOff>57149</xdr:rowOff>
    </xdr:to>
    <xdr:sp macro="[0]!Sheet21.TwoStockStepDownNoKI" textlink="">
      <xdr:nvSpPr>
        <xdr:cNvPr id="2" name="TextBox 1"/>
        <xdr:cNvSpPr txBox="1"/>
      </xdr:nvSpPr>
      <xdr:spPr>
        <a:xfrm>
          <a:off x="3495675" y="3543299"/>
          <a:ext cx="1609725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16</xdr:row>
      <xdr:rowOff>152399</xdr:rowOff>
    </xdr:from>
    <xdr:to>
      <xdr:col>5</xdr:col>
      <xdr:colOff>352425</xdr:colOff>
      <xdr:row>18</xdr:row>
      <xdr:rowOff>57150</xdr:rowOff>
    </xdr:to>
    <xdr:sp macro="[0]!Sheet22.TwoStockStepDownLBCoupon" textlink="">
      <xdr:nvSpPr>
        <xdr:cNvPr id="2" name="TextBox 1"/>
        <xdr:cNvSpPr txBox="1"/>
      </xdr:nvSpPr>
      <xdr:spPr>
        <a:xfrm>
          <a:off x="3457575" y="3552824"/>
          <a:ext cx="1609725" cy="457201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16</xdr:row>
      <xdr:rowOff>142874</xdr:rowOff>
    </xdr:from>
    <xdr:to>
      <xdr:col>5</xdr:col>
      <xdr:colOff>381000</xdr:colOff>
      <xdr:row>18</xdr:row>
      <xdr:rowOff>76200</xdr:rowOff>
    </xdr:to>
    <xdr:sp macro="[0]!Sheet23.TwoStockStepDownLBPG" textlink="">
      <xdr:nvSpPr>
        <xdr:cNvPr id="2" name="TextBox 1"/>
        <xdr:cNvSpPr txBox="1"/>
      </xdr:nvSpPr>
      <xdr:spPr>
        <a:xfrm>
          <a:off x="3486150" y="3524249"/>
          <a:ext cx="1609725" cy="485776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28576</xdr:colOff>
      <xdr:row>14</xdr:row>
      <xdr:rowOff>152399</xdr:rowOff>
    </xdr:from>
    <xdr:to>
      <xdr:col>5</xdr:col>
      <xdr:colOff>57151</xdr:colOff>
      <xdr:row>16</xdr:row>
      <xdr:rowOff>47624</xdr:rowOff>
    </xdr:to>
    <xdr:sp macro="[0]!Sheet40.UpOutCall" textlink="">
      <xdr:nvSpPr>
        <xdr:cNvPr id="2" name="TextBox 1"/>
        <xdr:cNvSpPr txBox="1"/>
      </xdr:nvSpPr>
      <xdr:spPr>
        <a:xfrm>
          <a:off x="3476626" y="3105149"/>
          <a:ext cx="1295400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28576</xdr:colOff>
      <xdr:row>14</xdr:row>
      <xdr:rowOff>152399</xdr:rowOff>
    </xdr:from>
    <xdr:to>
      <xdr:col>5</xdr:col>
      <xdr:colOff>57151</xdr:colOff>
      <xdr:row>16</xdr:row>
      <xdr:rowOff>47624</xdr:rowOff>
    </xdr:to>
    <xdr:sp macro="[0]!Sheet41.DownOutPut" textlink="">
      <xdr:nvSpPr>
        <xdr:cNvPr id="2" name="TextBox 1"/>
        <xdr:cNvSpPr txBox="1"/>
      </xdr:nvSpPr>
      <xdr:spPr>
        <a:xfrm>
          <a:off x="3476626" y="3105149"/>
          <a:ext cx="1295400" cy="447675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200" b="1"/>
            <a:t>계 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B2:F22"/>
  <sheetViews>
    <sheetView workbookViewId="0">
      <selection activeCell="G27" sqref="G27"/>
    </sheetView>
  </sheetViews>
  <sheetFormatPr defaultRowHeight="13.5" x14ac:dyDescent="0.3"/>
  <cols>
    <col min="1" max="1" width="9" style="1"/>
    <col min="2" max="2" width="18.375" style="1" bestFit="1" customWidth="1"/>
    <col min="3" max="3" width="14.25" style="1" customWidth="1"/>
    <col min="4" max="4" width="2.625" style="1" customWidth="1"/>
    <col min="5" max="16384" width="9" style="1"/>
  </cols>
  <sheetData>
    <row r="2" spans="2:6" ht="18" thickBot="1" x14ac:dyDescent="0.35">
      <c r="B2" s="23" t="s">
        <v>15</v>
      </c>
      <c r="C2" s="23"/>
      <c r="D2" s="3"/>
    </row>
    <row r="3" spans="2:6" x14ac:dyDescent="0.3">
      <c r="B3" s="5" t="s">
        <v>0</v>
      </c>
      <c r="C3" s="6">
        <v>38869</v>
      </c>
      <c r="D3" s="2"/>
    </row>
    <row r="4" spans="2:6" x14ac:dyDescent="0.3">
      <c r="B4" s="8" t="s">
        <v>1</v>
      </c>
      <c r="C4" s="9">
        <v>38961</v>
      </c>
    </row>
    <row r="5" spans="2:6" x14ac:dyDescent="0.3">
      <c r="B5" s="8" t="s">
        <v>79</v>
      </c>
      <c r="C5" s="7" t="s">
        <v>27</v>
      </c>
    </row>
    <row r="6" spans="2:6" x14ac:dyDescent="0.3">
      <c r="B6" s="8" t="s">
        <v>80</v>
      </c>
      <c r="C6" s="7" t="s">
        <v>85</v>
      </c>
    </row>
    <row r="7" spans="2:6" x14ac:dyDescent="0.3">
      <c r="B7" s="8" t="s">
        <v>81</v>
      </c>
      <c r="C7" s="10">
        <v>250</v>
      </c>
    </row>
    <row r="8" spans="2:6" x14ac:dyDescent="0.3">
      <c r="B8" s="8" t="s">
        <v>86</v>
      </c>
      <c r="C8" s="10">
        <v>500000</v>
      </c>
    </row>
    <row r="9" spans="2:6" x14ac:dyDescent="0.3">
      <c r="B9" s="8" t="s">
        <v>2</v>
      </c>
      <c r="C9" s="10">
        <v>1000000000</v>
      </c>
    </row>
    <row r="10" spans="2:6" x14ac:dyDescent="0.3">
      <c r="B10" s="11" t="s">
        <v>32</v>
      </c>
      <c r="C10" s="7" t="s">
        <v>21</v>
      </c>
    </row>
    <row r="11" spans="2:6" x14ac:dyDescent="0.3">
      <c r="B11" s="8" t="s">
        <v>3</v>
      </c>
      <c r="C11" s="7" t="s">
        <v>76</v>
      </c>
    </row>
    <row r="12" spans="2:6" x14ac:dyDescent="0.3">
      <c r="B12" s="8" t="s">
        <v>4</v>
      </c>
      <c r="C12" s="7" t="s">
        <v>77</v>
      </c>
    </row>
    <row r="13" spans="2:6" ht="14.25" thickBot="1" x14ac:dyDescent="0.35">
      <c r="B13" s="12" t="s">
        <v>87</v>
      </c>
      <c r="C13" s="13" t="s">
        <v>78</v>
      </c>
    </row>
    <row r="16" spans="2:6" ht="17.25" x14ac:dyDescent="0.3">
      <c r="B16" s="23" t="s">
        <v>14</v>
      </c>
      <c r="C16" s="23"/>
      <c r="E16" s="24" t="s">
        <v>7</v>
      </c>
      <c r="F16" s="24"/>
    </row>
    <row r="17" spans="2:6" x14ac:dyDescent="0.3">
      <c r="B17" s="1" t="s">
        <v>31</v>
      </c>
      <c r="C17" s="2">
        <v>38870</v>
      </c>
      <c r="E17" s="1" t="s">
        <v>12</v>
      </c>
      <c r="F17" s="1">
        <v>16.433201144122322</v>
      </c>
    </row>
    <row r="18" spans="2:6" x14ac:dyDescent="0.3">
      <c r="B18" s="1" t="s">
        <v>82</v>
      </c>
      <c r="C18" s="4">
        <v>0.3</v>
      </c>
      <c r="E18" s="1" t="s">
        <v>8</v>
      </c>
      <c r="F18" s="1">
        <v>0.56281743027445219</v>
      </c>
    </row>
    <row r="19" spans="2:6" x14ac:dyDescent="0.3">
      <c r="B19" s="1" t="s">
        <v>83</v>
      </c>
      <c r="C19" s="4">
        <v>0</v>
      </c>
      <c r="E19" s="1" t="s">
        <v>9</v>
      </c>
      <c r="F19" s="1">
        <v>1.0520725567821635E-2</v>
      </c>
    </row>
    <row r="20" spans="2:6" x14ac:dyDescent="0.3">
      <c r="B20" s="1" t="s">
        <v>18</v>
      </c>
      <c r="C20" s="4">
        <v>0.05</v>
      </c>
      <c r="E20" s="1" t="s">
        <v>10</v>
      </c>
      <c r="F20" s="1">
        <v>0.30982671875694945</v>
      </c>
    </row>
    <row r="21" spans="2:6" x14ac:dyDescent="0.3">
      <c r="B21" s="1" t="s">
        <v>84</v>
      </c>
      <c r="C21" s="1">
        <v>250</v>
      </c>
      <c r="E21" s="1" t="s">
        <v>11</v>
      </c>
      <c r="F21" s="1">
        <v>-9.809068076910378E-2</v>
      </c>
    </row>
    <row r="22" spans="2:6" x14ac:dyDescent="0.3">
      <c r="E22" s="1" t="s">
        <v>13</v>
      </c>
      <c r="F22" s="1">
        <v>0.49180789041357992</v>
      </c>
    </row>
  </sheetData>
  <mergeCells count="3">
    <mergeCell ref="B2:C2"/>
    <mergeCell ref="B16:C16"/>
    <mergeCell ref="E16:F1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B2:F25"/>
  <sheetViews>
    <sheetView workbookViewId="0">
      <selection activeCell="I22" sqref="I22"/>
    </sheetView>
  </sheetViews>
  <sheetFormatPr defaultRowHeight="13.5" x14ac:dyDescent="0.3"/>
  <cols>
    <col min="1" max="1" width="9" style="1"/>
    <col min="2" max="2" width="23.25" style="1" customWidth="1"/>
    <col min="3" max="3" width="14.25" style="1" customWidth="1"/>
    <col min="4" max="4" width="2.625" style="1" customWidth="1"/>
    <col min="5" max="16384" width="9" style="1"/>
  </cols>
  <sheetData>
    <row r="2" spans="2:4" ht="18" thickBot="1" x14ac:dyDescent="0.35">
      <c r="B2" s="23" t="s">
        <v>15</v>
      </c>
      <c r="C2" s="23"/>
      <c r="D2" s="3"/>
    </row>
    <row r="3" spans="2:4" x14ac:dyDescent="0.3">
      <c r="B3" s="5" t="s">
        <v>0</v>
      </c>
      <c r="C3" s="6">
        <v>38869</v>
      </c>
      <c r="D3" s="2"/>
    </row>
    <row r="4" spans="2:4" x14ac:dyDescent="0.3">
      <c r="B4" s="8" t="s">
        <v>1</v>
      </c>
      <c r="C4" s="9">
        <v>38961</v>
      </c>
    </row>
    <row r="5" spans="2:4" x14ac:dyDescent="0.3">
      <c r="B5" s="8" t="s">
        <v>79</v>
      </c>
      <c r="C5" s="7" t="s">
        <v>27</v>
      </c>
    </row>
    <row r="6" spans="2:4" x14ac:dyDescent="0.3">
      <c r="B6" s="8" t="s">
        <v>80</v>
      </c>
      <c r="C6" s="7" t="s">
        <v>85</v>
      </c>
    </row>
    <row r="7" spans="2:4" x14ac:dyDescent="0.3">
      <c r="B7" s="8" t="s">
        <v>81</v>
      </c>
      <c r="C7" s="10">
        <v>250</v>
      </c>
    </row>
    <row r="8" spans="2:4" x14ac:dyDescent="0.3">
      <c r="B8" s="8" t="s">
        <v>89</v>
      </c>
      <c r="C8" s="10" t="s">
        <v>90</v>
      </c>
    </row>
    <row r="9" spans="2:4" x14ac:dyDescent="0.3">
      <c r="B9" s="8" t="s">
        <v>91</v>
      </c>
      <c r="C9" s="10">
        <v>230</v>
      </c>
    </row>
    <row r="10" spans="2:4" x14ac:dyDescent="0.3">
      <c r="B10" s="8" t="s">
        <v>86</v>
      </c>
      <c r="C10" s="10">
        <v>500000</v>
      </c>
    </row>
    <row r="11" spans="2:4" x14ac:dyDescent="0.3">
      <c r="B11" s="8" t="s">
        <v>2</v>
      </c>
      <c r="C11" s="10">
        <v>1000000000</v>
      </c>
    </row>
    <row r="12" spans="2:4" x14ac:dyDescent="0.3">
      <c r="B12" s="11" t="s">
        <v>32</v>
      </c>
      <c r="C12" s="7" t="s">
        <v>21</v>
      </c>
    </row>
    <row r="13" spans="2:4" x14ac:dyDescent="0.3">
      <c r="B13" s="8" t="s">
        <v>3</v>
      </c>
      <c r="C13" s="7" t="s">
        <v>76</v>
      </c>
    </row>
    <row r="14" spans="2:4" x14ac:dyDescent="0.3">
      <c r="B14" s="8" t="s">
        <v>4</v>
      </c>
      <c r="C14" s="7" t="s">
        <v>77</v>
      </c>
    </row>
    <row r="15" spans="2:4" x14ac:dyDescent="0.3">
      <c r="B15" s="8" t="s">
        <v>87</v>
      </c>
      <c r="C15" s="7" t="s">
        <v>88</v>
      </c>
    </row>
    <row r="16" spans="2:4" ht="27.75" thickBot="1" x14ac:dyDescent="0.35">
      <c r="B16" s="22" t="s">
        <v>92</v>
      </c>
      <c r="C16" s="13" t="s">
        <v>93</v>
      </c>
    </row>
    <row r="19" spans="2:6" ht="17.25" x14ac:dyDescent="0.3">
      <c r="B19" s="23" t="s">
        <v>14</v>
      </c>
      <c r="C19" s="23"/>
      <c r="E19" s="24" t="s">
        <v>7</v>
      </c>
      <c r="F19" s="24"/>
    </row>
    <row r="20" spans="2:6" x14ac:dyDescent="0.3">
      <c r="B20" s="1" t="s">
        <v>31</v>
      </c>
      <c r="C20" s="2">
        <v>38870</v>
      </c>
      <c r="E20" s="1" t="s">
        <v>12</v>
      </c>
      <c r="F20" s="1">
        <v>2.663374982764632</v>
      </c>
    </row>
    <row r="21" spans="2:6" x14ac:dyDescent="0.3">
      <c r="B21" s="1" t="s">
        <v>82</v>
      </c>
      <c r="C21" s="4">
        <v>0.3</v>
      </c>
      <c r="E21" s="1" t="s">
        <v>8</v>
      </c>
      <c r="F21" s="1">
        <v>-0.14353536306211456</v>
      </c>
    </row>
    <row r="22" spans="2:6" x14ac:dyDescent="0.3">
      <c r="B22" s="1" t="s">
        <v>83</v>
      </c>
      <c r="C22" s="4">
        <v>0</v>
      </c>
      <c r="E22" s="1" t="s">
        <v>9</v>
      </c>
      <c r="F22" s="1">
        <v>6.9321512211004688E-3</v>
      </c>
    </row>
    <row r="23" spans="2:6" x14ac:dyDescent="0.3">
      <c r="B23" s="1" t="s">
        <v>18</v>
      </c>
      <c r="C23" s="4">
        <v>0.05</v>
      </c>
      <c r="E23" s="1" t="s">
        <v>10</v>
      </c>
      <c r="F23" s="1">
        <v>3.2733669941935585E-2</v>
      </c>
    </row>
    <row r="24" spans="2:6" x14ac:dyDescent="0.3">
      <c r="B24" s="1" t="s">
        <v>84</v>
      </c>
      <c r="C24" s="1">
        <v>250</v>
      </c>
      <c r="E24" s="1" t="s">
        <v>11</v>
      </c>
      <c r="F24" s="1">
        <v>-4.8132833224585052E-2</v>
      </c>
    </row>
    <row r="25" spans="2:6" x14ac:dyDescent="0.3">
      <c r="E25" s="1" t="s">
        <v>13</v>
      </c>
      <c r="F25" s="1">
        <v>0.28109456114443859</v>
      </c>
    </row>
  </sheetData>
  <mergeCells count="3">
    <mergeCell ref="B2:C2"/>
    <mergeCell ref="B19:C19"/>
    <mergeCell ref="E19:F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2:K33"/>
  <sheetViews>
    <sheetView tabSelected="1" workbookViewId="0">
      <selection activeCell="C38" sqref="C38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11" x14ac:dyDescent="0.3">
      <c r="B4" s="8" t="s">
        <v>1</v>
      </c>
      <c r="C4" s="9">
        <v>39965</v>
      </c>
      <c r="E4" s="8" t="s">
        <v>47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>
        <v>60</v>
      </c>
    </row>
    <row r="7" spans="2:11" x14ac:dyDescent="0.3">
      <c r="B7" s="11" t="s">
        <v>50</v>
      </c>
      <c r="C7" s="7" t="s">
        <v>51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>
        <v>5</v>
      </c>
    </row>
    <row r="10" spans="2:11" x14ac:dyDescent="0.3">
      <c r="B10" s="8" t="s">
        <v>29</v>
      </c>
      <c r="C10" s="7">
        <v>1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2</v>
      </c>
      <c r="C12" s="10">
        <v>1000000000</v>
      </c>
    </row>
    <row r="13" spans="2:11" x14ac:dyDescent="0.3">
      <c r="B13" s="11" t="s">
        <v>32</v>
      </c>
      <c r="C13" s="7" t="s">
        <v>21</v>
      </c>
    </row>
    <row r="14" spans="2:11" x14ac:dyDescent="0.3">
      <c r="B14" s="8" t="s">
        <v>3</v>
      </c>
      <c r="C14" s="7" t="s">
        <v>19</v>
      </c>
    </row>
    <row r="15" spans="2:11" x14ac:dyDescent="0.3">
      <c r="B15" s="8" t="s">
        <v>4</v>
      </c>
      <c r="C15" s="7" t="s">
        <v>24</v>
      </c>
    </row>
    <row r="16" spans="2:11" x14ac:dyDescent="0.3">
      <c r="B16" s="8" t="s">
        <v>30</v>
      </c>
      <c r="C16" s="7" t="s">
        <v>20</v>
      </c>
    </row>
    <row r="17" spans="2:6" ht="27" x14ac:dyDescent="0.3">
      <c r="B17" s="11" t="s">
        <v>22</v>
      </c>
      <c r="C17" s="7" t="s">
        <v>25</v>
      </c>
    </row>
    <row r="18" spans="2:6" x14ac:dyDescent="0.3">
      <c r="B18" s="8" t="s">
        <v>5</v>
      </c>
      <c r="C18" s="10">
        <v>992000000</v>
      </c>
    </row>
    <row r="19" spans="2:6" x14ac:dyDescent="0.3">
      <c r="B19" s="8" t="s">
        <v>6</v>
      </c>
      <c r="C19" s="10">
        <v>1000000000</v>
      </c>
    </row>
    <row r="20" spans="2:6" x14ac:dyDescent="0.3">
      <c r="B20" s="8" t="s">
        <v>49</v>
      </c>
      <c r="C20" s="21">
        <v>1</v>
      </c>
    </row>
    <row r="21" spans="2:6" ht="17.25" thickBot="1" x14ac:dyDescent="0.35">
      <c r="B21" s="12" t="s">
        <v>44</v>
      </c>
      <c r="C21" s="13" t="s">
        <v>45</v>
      </c>
    </row>
    <row r="22" spans="2:6" ht="17.25" x14ac:dyDescent="0.3">
      <c r="E22" s="24" t="s">
        <v>7</v>
      </c>
      <c r="F22" s="24"/>
    </row>
    <row r="23" spans="2:6" ht="17.25" x14ac:dyDescent="0.3">
      <c r="B23" s="23" t="s">
        <v>14</v>
      </c>
      <c r="C23" s="23"/>
      <c r="E23" s="1" t="s">
        <v>12</v>
      </c>
      <c r="F23" s="1">
        <v>93.627688037226676</v>
      </c>
    </row>
    <row r="24" spans="2:6" x14ac:dyDescent="0.3">
      <c r="B24" s="1" t="s">
        <v>31</v>
      </c>
      <c r="C24" s="2">
        <v>38870</v>
      </c>
      <c r="E24" s="1" t="s">
        <v>8</v>
      </c>
      <c r="F24" s="1">
        <v>0.4592852247281623</v>
      </c>
    </row>
    <row r="25" spans="2:6" x14ac:dyDescent="0.3">
      <c r="B25" s="1" t="s">
        <v>33</v>
      </c>
      <c r="C25" s="4">
        <v>0.3</v>
      </c>
      <c r="E25" s="1" t="s">
        <v>9</v>
      </c>
      <c r="F25" s="1">
        <v>-1.7900786368811639E-2</v>
      </c>
    </row>
    <row r="26" spans="2:6" x14ac:dyDescent="0.3">
      <c r="B26" s="1" t="s">
        <v>34</v>
      </c>
      <c r="C26" s="4">
        <v>0</v>
      </c>
      <c r="E26" s="1" t="s">
        <v>10</v>
      </c>
      <c r="F26" s="1">
        <v>0</v>
      </c>
    </row>
    <row r="27" spans="2:6" x14ac:dyDescent="0.3">
      <c r="B27" s="1" t="s">
        <v>18</v>
      </c>
      <c r="C27" s="4">
        <v>0.05</v>
      </c>
      <c r="E27" s="1" t="s">
        <v>11</v>
      </c>
      <c r="F27" s="1">
        <v>2.8610353898955051E-2</v>
      </c>
    </row>
    <row r="28" spans="2:6" x14ac:dyDescent="0.3">
      <c r="B28" s="1" t="s">
        <v>35</v>
      </c>
      <c r="C28" s="1">
        <v>100</v>
      </c>
      <c r="E28" s="1" t="s">
        <v>13</v>
      </c>
      <c r="F28" s="1">
        <v>-0.50148972810289649</v>
      </c>
    </row>
    <row r="30" spans="2:6" x14ac:dyDescent="0.3">
      <c r="B30" s="1" t="s">
        <v>37</v>
      </c>
      <c r="C30" s="1" t="b">
        <v>0</v>
      </c>
    </row>
    <row r="31" spans="2:6" x14ac:dyDescent="0.3">
      <c r="B31" s="1" t="s">
        <v>38</v>
      </c>
      <c r="C31" s="1" t="b">
        <v>0</v>
      </c>
    </row>
    <row r="33" spans="2:3" x14ac:dyDescent="0.3">
      <c r="B33" s="1" t="s">
        <v>40</v>
      </c>
      <c r="C33" s="1">
        <v>2000</v>
      </c>
    </row>
  </sheetData>
  <dataConsolidate/>
  <mergeCells count="3">
    <mergeCell ref="B2:C2"/>
    <mergeCell ref="B23:C23"/>
    <mergeCell ref="E22:F22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K33"/>
  <sheetViews>
    <sheetView workbookViewId="0">
      <selection activeCell="J11" sqref="J11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60</v>
      </c>
    </row>
    <row r="4" spans="2:11" x14ac:dyDescent="0.3">
      <c r="B4" s="8" t="s">
        <v>1</v>
      </c>
      <c r="C4" s="9">
        <v>39965</v>
      </c>
      <c r="E4" s="8" t="s">
        <v>47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 t="s">
        <v>39</v>
      </c>
    </row>
    <row r="7" spans="2:11" x14ac:dyDescent="0.3">
      <c r="B7" s="11" t="s">
        <v>50</v>
      </c>
      <c r="C7" s="7" t="s">
        <v>51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 t="s">
        <v>39</v>
      </c>
    </row>
    <row r="10" spans="2:11" x14ac:dyDescent="0.3">
      <c r="B10" s="8" t="s">
        <v>29</v>
      </c>
      <c r="C10" s="7">
        <v>1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2</v>
      </c>
      <c r="C12" s="10">
        <v>1000000000</v>
      </c>
    </row>
    <row r="13" spans="2:11" x14ac:dyDescent="0.3">
      <c r="B13" s="11" t="s">
        <v>32</v>
      </c>
      <c r="C13" s="7" t="s">
        <v>21</v>
      </c>
    </row>
    <row r="14" spans="2:11" x14ac:dyDescent="0.3">
      <c r="B14" s="8" t="s">
        <v>3</v>
      </c>
      <c r="C14" s="7" t="s">
        <v>19</v>
      </c>
    </row>
    <row r="15" spans="2:11" x14ac:dyDescent="0.3">
      <c r="B15" s="8" t="s">
        <v>4</v>
      </c>
      <c r="C15" s="7" t="s">
        <v>24</v>
      </c>
    </row>
    <row r="16" spans="2:11" x14ac:dyDescent="0.3">
      <c r="B16" s="8" t="s">
        <v>30</v>
      </c>
      <c r="C16" s="7" t="s">
        <v>69</v>
      </c>
    </row>
    <row r="17" spans="2:6" ht="27" x14ac:dyDescent="0.3">
      <c r="B17" s="11" t="s">
        <v>22</v>
      </c>
      <c r="C17" s="7" t="s">
        <v>25</v>
      </c>
    </row>
    <row r="18" spans="2:6" x14ac:dyDescent="0.3">
      <c r="B18" s="8" t="s">
        <v>5</v>
      </c>
      <c r="C18" s="10">
        <v>992000000</v>
      </c>
    </row>
    <row r="19" spans="2:6" x14ac:dyDescent="0.3">
      <c r="B19" s="8" t="s">
        <v>6</v>
      </c>
      <c r="C19" s="10">
        <v>1000000000</v>
      </c>
    </row>
    <row r="20" spans="2:6" x14ac:dyDescent="0.3">
      <c r="B20" s="8" t="s">
        <v>49</v>
      </c>
      <c r="C20" s="21">
        <v>1</v>
      </c>
    </row>
    <row r="21" spans="2:6" ht="17.25" thickBot="1" x14ac:dyDescent="0.35">
      <c r="B21" s="12" t="s">
        <v>44</v>
      </c>
      <c r="C21" s="13" t="s">
        <v>39</v>
      </c>
    </row>
    <row r="22" spans="2:6" ht="17.25" x14ac:dyDescent="0.3">
      <c r="E22" s="24" t="s">
        <v>7</v>
      </c>
      <c r="F22" s="24"/>
    </row>
    <row r="23" spans="2:6" ht="17.25" x14ac:dyDescent="0.3">
      <c r="B23" s="23" t="s">
        <v>14</v>
      </c>
      <c r="C23" s="23"/>
      <c r="E23" s="1" t="s">
        <v>12</v>
      </c>
      <c r="F23" s="1">
        <v>98.195542479438288</v>
      </c>
    </row>
    <row r="24" spans="2:6" x14ac:dyDescent="0.3">
      <c r="B24" s="1" t="s">
        <v>31</v>
      </c>
      <c r="C24" s="2">
        <v>38870</v>
      </c>
      <c r="E24" s="1" t="s">
        <v>8</v>
      </c>
      <c r="F24" s="1">
        <v>0.24695172557332498</v>
      </c>
    </row>
    <row r="25" spans="2:6" x14ac:dyDescent="0.3">
      <c r="B25" s="1" t="s">
        <v>33</v>
      </c>
      <c r="C25" s="4">
        <v>0.3</v>
      </c>
      <c r="E25" s="1" t="s">
        <v>9</v>
      </c>
      <c r="F25" s="1">
        <v>-1.2052626852007621E-2</v>
      </c>
    </row>
    <row r="26" spans="2:6" x14ac:dyDescent="0.3">
      <c r="B26" s="1" t="s">
        <v>34</v>
      </c>
      <c r="C26" s="4">
        <v>0</v>
      </c>
      <c r="E26" s="1" t="s">
        <v>10</v>
      </c>
      <c r="F26" s="1">
        <v>0</v>
      </c>
    </row>
    <row r="27" spans="2:6" x14ac:dyDescent="0.3">
      <c r="B27" s="1" t="s">
        <v>18</v>
      </c>
      <c r="C27" s="4">
        <v>0.05</v>
      </c>
      <c r="E27" s="1" t="s">
        <v>11</v>
      </c>
      <c r="F27" s="1">
        <v>2.4931443043470836E-2</v>
      </c>
    </row>
    <row r="28" spans="2:6" x14ac:dyDescent="0.3">
      <c r="B28" s="1" t="s">
        <v>35</v>
      </c>
      <c r="C28" s="1">
        <v>100</v>
      </c>
      <c r="E28" s="1" t="s">
        <v>13</v>
      </c>
      <c r="F28" s="1">
        <v>-0.52533668525276767</v>
      </c>
    </row>
    <row r="30" spans="2:6" x14ac:dyDescent="0.3">
      <c r="B30" s="1" t="s">
        <v>37</v>
      </c>
      <c r="C30" s="1" t="b">
        <v>0</v>
      </c>
    </row>
    <row r="31" spans="2:6" x14ac:dyDescent="0.3">
      <c r="B31" s="1" t="s">
        <v>38</v>
      </c>
      <c r="C31" s="1" t="b">
        <v>0</v>
      </c>
    </row>
    <row r="33" spans="2:3" x14ac:dyDescent="0.3">
      <c r="B33" s="1" t="s">
        <v>40</v>
      </c>
      <c r="C33" s="1">
        <v>2000</v>
      </c>
    </row>
  </sheetData>
  <dataConsolidate/>
  <mergeCells count="3">
    <mergeCell ref="B2:C2"/>
    <mergeCell ref="B23:C23"/>
    <mergeCell ref="E22:F22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2:AP33"/>
  <sheetViews>
    <sheetView workbookViewId="0">
      <selection activeCell="C27" sqref="C27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3" width="9.75" bestFit="1" customWidth="1"/>
  </cols>
  <sheetData>
    <row r="2" spans="2:42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42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42" x14ac:dyDescent="0.3">
      <c r="B4" s="8" t="s">
        <v>1</v>
      </c>
      <c r="C4" s="9">
        <v>39965</v>
      </c>
      <c r="E4" s="8" t="s">
        <v>46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7">
        <v>0</v>
      </c>
    </row>
    <row r="5" spans="2:42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42" x14ac:dyDescent="0.3">
      <c r="B6" s="11" t="s">
        <v>23</v>
      </c>
      <c r="C6" s="7">
        <v>60</v>
      </c>
    </row>
    <row r="7" spans="2:42" ht="17.25" thickBot="1" x14ac:dyDescent="0.35">
      <c r="B7" s="11" t="s">
        <v>50</v>
      </c>
      <c r="C7" s="7" t="s">
        <v>51</v>
      </c>
      <c r="F7" s="1">
        <v>0</v>
      </c>
      <c r="G7" s="1">
        <v>1</v>
      </c>
      <c r="H7" s="1">
        <v>2</v>
      </c>
      <c r="I7" s="1">
        <v>3</v>
      </c>
      <c r="J7" s="1">
        <v>4</v>
      </c>
      <c r="K7" s="1">
        <v>5</v>
      </c>
      <c r="L7" s="1">
        <v>6</v>
      </c>
      <c r="M7" s="1">
        <v>7</v>
      </c>
      <c r="N7" s="1">
        <v>8</v>
      </c>
      <c r="O7" s="1">
        <v>9</v>
      </c>
      <c r="P7" s="1">
        <v>10</v>
      </c>
      <c r="Q7" s="1">
        <v>11</v>
      </c>
      <c r="R7" s="1">
        <v>12</v>
      </c>
      <c r="S7" s="1">
        <v>13</v>
      </c>
      <c r="T7" s="1">
        <v>14</v>
      </c>
      <c r="U7" s="1">
        <v>15</v>
      </c>
      <c r="V7" s="1">
        <v>16</v>
      </c>
      <c r="W7" s="1">
        <v>17</v>
      </c>
      <c r="X7" s="1">
        <v>18</v>
      </c>
      <c r="Y7" s="1">
        <v>19</v>
      </c>
      <c r="Z7" s="1">
        <v>20</v>
      </c>
      <c r="AA7" s="1">
        <v>21</v>
      </c>
      <c r="AB7" s="1">
        <v>22</v>
      </c>
      <c r="AC7" s="1">
        <v>23</v>
      </c>
      <c r="AD7" s="1">
        <v>24</v>
      </c>
      <c r="AE7" s="1">
        <v>25</v>
      </c>
      <c r="AF7" s="1">
        <v>26</v>
      </c>
      <c r="AG7" s="1">
        <v>27</v>
      </c>
      <c r="AH7" s="1">
        <v>28</v>
      </c>
      <c r="AI7" s="1">
        <v>29</v>
      </c>
      <c r="AJ7" s="1">
        <v>30</v>
      </c>
      <c r="AK7" s="1">
        <v>31</v>
      </c>
      <c r="AL7" s="1">
        <v>32</v>
      </c>
      <c r="AM7" s="1">
        <v>33</v>
      </c>
      <c r="AN7" s="1">
        <v>34</v>
      </c>
      <c r="AO7" s="1">
        <v>35</v>
      </c>
      <c r="AP7" s="1"/>
    </row>
    <row r="8" spans="2:42" x14ac:dyDescent="0.3">
      <c r="B8" s="11" t="s">
        <v>26</v>
      </c>
      <c r="C8" s="7">
        <v>6</v>
      </c>
      <c r="E8" s="5" t="s">
        <v>42</v>
      </c>
      <c r="F8" s="14">
        <v>90</v>
      </c>
      <c r="G8" s="14">
        <v>90</v>
      </c>
      <c r="H8" s="14">
        <v>90</v>
      </c>
      <c r="I8" s="14">
        <v>90</v>
      </c>
      <c r="J8" s="14">
        <v>90</v>
      </c>
      <c r="K8" s="14">
        <v>90</v>
      </c>
      <c r="L8" s="14">
        <v>90</v>
      </c>
      <c r="M8" s="14">
        <v>90</v>
      </c>
      <c r="N8" s="14">
        <v>90</v>
      </c>
      <c r="O8" s="14">
        <v>90</v>
      </c>
      <c r="P8" s="14">
        <v>90</v>
      </c>
      <c r="Q8" s="14">
        <v>90</v>
      </c>
      <c r="R8" s="19">
        <v>85</v>
      </c>
      <c r="S8" s="19">
        <v>85</v>
      </c>
      <c r="T8" s="19">
        <v>85</v>
      </c>
      <c r="U8" s="19">
        <v>85</v>
      </c>
      <c r="V8" s="19">
        <v>85</v>
      </c>
      <c r="W8" s="19">
        <v>85</v>
      </c>
      <c r="X8" s="19">
        <v>85</v>
      </c>
      <c r="Y8" s="19">
        <v>85</v>
      </c>
      <c r="Z8" s="19">
        <v>85</v>
      </c>
      <c r="AA8" s="19">
        <v>85</v>
      </c>
      <c r="AB8" s="19">
        <v>85</v>
      </c>
      <c r="AC8" s="19">
        <v>85</v>
      </c>
      <c r="AD8" s="19">
        <v>80</v>
      </c>
      <c r="AE8" s="19">
        <v>80</v>
      </c>
      <c r="AF8" s="19">
        <v>80</v>
      </c>
      <c r="AG8" s="19">
        <v>80</v>
      </c>
      <c r="AH8" s="19">
        <v>80</v>
      </c>
      <c r="AI8" s="19">
        <v>80</v>
      </c>
      <c r="AJ8" s="19">
        <v>80</v>
      </c>
      <c r="AK8" s="19">
        <v>80</v>
      </c>
      <c r="AL8" s="19">
        <v>80</v>
      </c>
      <c r="AM8" s="19">
        <v>80</v>
      </c>
      <c r="AN8" s="19">
        <v>80</v>
      </c>
      <c r="AO8" s="20">
        <v>80</v>
      </c>
    </row>
    <row r="9" spans="2:42" x14ac:dyDescent="0.3">
      <c r="B9" s="8" t="s">
        <v>36</v>
      </c>
      <c r="C9" s="7" t="s">
        <v>45</v>
      </c>
      <c r="E9" s="8" t="s">
        <v>48</v>
      </c>
      <c r="F9" s="16">
        <f>$C$5/12</f>
        <v>0.83333333333333337</v>
      </c>
      <c r="G9" s="16">
        <f t="shared" ref="G9:AO9" si="0">$C$5/12</f>
        <v>0.83333333333333337</v>
      </c>
      <c r="H9" s="16">
        <f t="shared" si="0"/>
        <v>0.83333333333333337</v>
      </c>
      <c r="I9" s="16">
        <f t="shared" si="0"/>
        <v>0.83333333333333337</v>
      </c>
      <c r="J9" s="16">
        <f t="shared" si="0"/>
        <v>0.83333333333333337</v>
      </c>
      <c r="K9" s="16">
        <f t="shared" si="0"/>
        <v>0.83333333333333337</v>
      </c>
      <c r="L9" s="16">
        <f t="shared" si="0"/>
        <v>0.83333333333333337</v>
      </c>
      <c r="M9" s="16">
        <f t="shared" si="0"/>
        <v>0.83333333333333337</v>
      </c>
      <c r="N9" s="16">
        <f t="shared" si="0"/>
        <v>0.83333333333333337</v>
      </c>
      <c r="O9" s="16">
        <f t="shared" si="0"/>
        <v>0.83333333333333337</v>
      </c>
      <c r="P9" s="16">
        <f t="shared" si="0"/>
        <v>0.83333333333333337</v>
      </c>
      <c r="Q9" s="16">
        <f t="shared" si="0"/>
        <v>0.83333333333333337</v>
      </c>
      <c r="R9" s="16">
        <f t="shared" si="0"/>
        <v>0.83333333333333337</v>
      </c>
      <c r="S9" s="16">
        <f t="shared" si="0"/>
        <v>0.83333333333333337</v>
      </c>
      <c r="T9" s="16">
        <f t="shared" si="0"/>
        <v>0.83333333333333337</v>
      </c>
      <c r="U9" s="16">
        <f t="shared" si="0"/>
        <v>0.83333333333333337</v>
      </c>
      <c r="V9" s="16">
        <f t="shared" si="0"/>
        <v>0.83333333333333337</v>
      </c>
      <c r="W9" s="16">
        <f t="shared" si="0"/>
        <v>0.83333333333333337</v>
      </c>
      <c r="X9" s="16">
        <f t="shared" si="0"/>
        <v>0.83333333333333337</v>
      </c>
      <c r="Y9" s="16">
        <f t="shared" si="0"/>
        <v>0.83333333333333337</v>
      </c>
      <c r="Z9" s="16">
        <f t="shared" si="0"/>
        <v>0.83333333333333337</v>
      </c>
      <c r="AA9" s="16">
        <f t="shared" si="0"/>
        <v>0.83333333333333337</v>
      </c>
      <c r="AB9" s="16">
        <f t="shared" si="0"/>
        <v>0.83333333333333337</v>
      </c>
      <c r="AC9" s="16">
        <f t="shared" si="0"/>
        <v>0.83333333333333337</v>
      </c>
      <c r="AD9" s="16">
        <f t="shared" si="0"/>
        <v>0.83333333333333337</v>
      </c>
      <c r="AE9" s="16">
        <f t="shared" si="0"/>
        <v>0.83333333333333337</v>
      </c>
      <c r="AF9" s="16">
        <f t="shared" si="0"/>
        <v>0.83333333333333337</v>
      </c>
      <c r="AG9" s="16">
        <f t="shared" si="0"/>
        <v>0.83333333333333337</v>
      </c>
      <c r="AH9" s="16">
        <f t="shared" si="0"/>
        <v>0.83333333333333337</v>
      </c>
      <c r="AI9" s="16">
        <f t="shared" si="0"/>
        <v>0.83333333333333337</v>
      </c>
      <c r="AJ9" s="16">
        <f t="shared" si="0"/>
        <v>0.83333333333333337</v>
      </c>
      <c r="AK9" s="16">
        <f t="shared" si="0"/>
        <v>0.83333333333333337</v>
      </c>
      <c r="AL9" s="16">
        <f t="shared" si="0"/>
        <v>0.83333333333333337</v>
      </c>
      <c r="AM9" s="16">
        <f t="shared" si="0"/>
        <v>0.83333333333333337</v>
      </c>
      <c r="AN9" s="16">
        <f t="shared" si="0"/>
        <v>0.83333333333333337</v>
      </c>
      <c r="AO9" s="7">
        <f t="shared" si="0"/>
        <v>0.83333333333333337</v>
      </c>
    </row>
    <row r="10" spans="2:42" ht="17.25" thickBot="1" x14ac:dyDescent="0.35">
      <c r="B10" s="8" t="s">
        <v>29</v>
      </c>
      <c r="C10" s="7">
        <v>1</v>
      </c>
      <c r="E10" s="12" t="s">
        <v>43</v>
      </c>
      <c r="F10" s="17">
        <v>38899</v>
      </c>
      <c r="G10" s="17">
        <v>38930</v>
      </c>
      <c r="H10" s="17">
        <v>38961</v>
      </c>
      <c r="I10" s="17">
        <v>38991</v>
      </c>
      <c r="J10" s="17">
        <v>39022</v>
      </c>
      <c r="K10" s="17">
        <v>39052</v>
      </c>
      <c r="L10" s="17">
        <v>39083</v>
      </c>
      <c r="M10" s="17">
        <v>39114</v>
      </c>
      <c r="N10" s="17">
        <v>39142</v>
      </c>
      <c r="O10" s="17">
        <v>39173</v>
      </c>
      <c r="P10" s="17">
        <v>39203</v>
      </c>
      <c r="Q10" s="17">
        <v>39234</v>
      </c>
      <c r="R10" s="17">
        <v>39264</v>
      </c>
      <c r="S10" s="17">
        <v>39295</v>
      </c>
      <c r="T10" s="17">
        <v>39326</v>
      </c>
      <c r="U10" s="17">
        <v>39356</v>
      </c>
      <c r="V10" s="17">
        <v>39387</v>
      </c>
      <c r="W10" s="17">
        <v>39417</v>
      </c>
      <c r="X10" s="17">
        <v>39448</v>
      </c>
      <c r="Y10" s="17">
        <v>39479</v>
      </c>
      <c r="Z10" s="17">
        <v>39508</v>
      </c>
      <c r="AA10" s="17">
        <v>39539</v>
      </c>
      <c r="AB10" s="17">
        <v>39569</v>
      </c>
      <c r="AC10" s="17">
        <v>39600</v>
      </c>
      <c r="AD10" s="17">
        <v>39630</v>
      </c>
      <c r="AE10" s="17">
        <v>39661</v>
      </c>
      <c r="AF10" s="17">
        <v>39692</v>
      </c>
      <c r="AG10" s="17">
        <v>39722</v>
      </c>
      <c r="AH10" s="17">
        <v>39753</v>
      </c>
      <c r="AI10" s="17">
        <v>39783</v>
      </c>
      <c r="AJ10" s="17">
        <v>39814</v>
      </c>
      <c r="AK10" s="17">
        <v>39845</v>
      </c>
      <c r="AL10" s="17">
        <v>39873</v>
      </c>
      <c r="AM10" s="17">
        <v>39904</v>
      </c>
      <c r="AN10" s="17">
        <v>39934</v>
      </c>
      <c r="AO10" s="18">
        <v>39965</v>
      </c>
    </row>
    <row r="11" spans="2:42" x14ac:dyDescent="0.3">
      <c r="B11" s="8" t="s">
        <v>28</v>
      </c>
      <c r="C11" s="7" t="s">
        <v>27</v>
      </c>
    </row>
    <row r="12" spans="2:42" x14ac:dyDescent="0.3">
      <c r="B12" s="8" t="s">
        <v>2</v>
      </c>
      <c r="C12" s="10">
        <v>1000000000</v>
      </c>
    </row>
    <row r="13" spans="2:42" x14ac:dyDescent="0.3">
      <c r="B13" s="11" t="s">
        <v>32</v>
      </c>
      <c r="C13" s="7" t="s">
        <v>21</v>
      </c>
    </row>
    <row r="14" spans="2:42" x14ac:dyDescent="0.3">
      <c r="B14" s="8" t="s">
        <v>3</v>
      </c>
      <c r="C14" s="7" t="s">
        <v>19</v>
      </c>
    </row>
    <row r="15" spans="2:42" x14ac:dyDescent="0.3">
      <c r="B15" s="8" t="s">
        <v>4</v>
      </c>
      <c r="C15" s="7" t="s">
        <v>24</v>
      </c>
    </row>
    <row r="16" spans="2:42" x14ac:dyDescent="0.3">
      <c r="B16" s="8" t="s">
        <v>30</v>
      </c>
      <c r="C16" s="7" t="s">
        <v>72</v>
      </c>
    </row>
    <row r="17" spans="2:6" ht="27" x14ac:dyDescent="0.3">
      <c r="B17" s="11" t="s">
        <v>22</v>
      </c>
      <c r="C17" s="7" t="s">
        <v>25</v>
      </c>
    </row>
    <row r="18" spans="2:6" x14ac:dyDescent="0.3">
      <c r="B18" s="8" t="s">
        <v>5</v>
      </c>
      <c r="C18" s="10">
        <v>992000000</v>
      </c>
    </row>
    <row r="19" spans="2:6" x14ac:dyDescent="0.3">
      <c r="B19" s="8" t="s">
        <v>6</v>
      </c>
      <c r="C19" s="10">
        <v>1000000000</v>
      </c>
    </row>
    <row r="20" spans="2:6" x14ac:dyDescent="0.3">
      <c r="B20" s="8" t="s">
        <v>49</v>
      </c>
      <c r="C20" s="21">
        <v>1</v>
      </c>
    </row>
    <row r="21" spans="2:6" ht="17.25" thickBot="1" x14ac:dyDescent="0.35">
      <c r="B21" s="12" t="s">
        <v>44</v>
      </c>
      <c r="C21" s="13">
        <v>36</v>
      </c>
    </row>
    <row r="22" spans="2:6" ht="17.25" x14ac:dyDescent="0.3">
      <c r="E22" s="24" t="s">
        <v>7</v>
      </c>
      <c r="F22" s="24"/>
    </row>
    <row r="23" spans="2:6" ht="17.25" x14ac:dyDescent="0.3">
      <c r="B23" s="23" t="s">
        <v>14</v>
      </c>
      <c r="C23" s="23"/>
      <c r="E23" s="1" t="s">
        <v>12</v>
      </c>
      <c r="F23" s="1">
        <v>93.535824601879497</v>
      </c>
    </row>
    <row r="24" spans="2:6" x14ac:dyDescent="0.3">
      <c r="B24" s="1" t="s">
        <v>31</v>
      </c>
      <c r="C24" s="2">
        <v>38870</v>
      </c>
      <c r="E24" s="1" t="s">
        <v>8</v>
      </c>
      <c r="F24" s="1">
        <v>0.51223439006986515</v>
      </c>
    </row>
    <row r="25" spans="2:6" x14ac:dyDescent="0.3">
      <c r="B25" s="1" t="s">
        <v>33</v>
      </c>
      <c r="C25" s="4">
        <v>0.3</v>
      </c>
      <c r="E25" s="1" t="s">
        <v>9</v>
      </c>
      <c r="F25" s="1">
        <v>-2.3775635674036819E-2</v>
      </c>
    </row>
    <row r="26" spans="2:6" x14ac:dyDescent="0.3">
      <c r="B26" s="1" t="s">
        <v>34</v>
      </c>
      <c r="C26" s="4">
        <v>0</v>
      </c>
      <c r="E26" s="1" t="s">
        <v>10</v>
      </c>
      <c r="F26" s="1">
        <v>0</v>
      </c>
    </row>
    <row r="27" spans="2:6" x14ac:dyDescent="0.3">
      <c r="B27" s="1" t="s">
        <v>18</v>
      </c>
      <c r="C27" s="4">
        <v>0.05</v>
      </c>
      <c r="E27" s="1" t="s">
        <v>11</v>
      </c>
      <c r="F27" s="1">
        <v>3.5134550812315979E-2</v>
      </c>
    </row>
    <row r="28" spans="2:6" x14ac:dyDescent="0.3">
      <c r="B28" s="1" t="s">
        <v>35</v>
      </c>
      <c r="C28" s="1">
        <v>100</v>
      </c>
      <c r="E28" s="1" t="s">
        <v>13</v>
      </c>
      <c r="F28" s="1">
        <v>-0.52691817874470814</v>
      </c>
    </row>
    <row r="30" spans="2:6" x14ac:dyDescent="0.3">
      <c r="B30" s="1" t="s">
        <v>37</v>
      </c>
      <c r="C30" s="1" t="b">
        <v>0</v>
      </c>
    </row>
    <row r="31" spans="2:6" x14ac:dyDescent="0.3">
      <c r="B31" s="1" t="s">
        <v>38</v>
      </c>
      <c r="C31" s="1" t="b">
        <v>0</v>
      </c>
    </row>
    <row r="33" spans="2:3" x14ac:dyDescent="0.3">
      <c r="B33" s="1" t="s">
        <v>40</v>
      </c>
      <c r="C33" s="1">
        <v>2000</v>
      </c>
    </row>
  </sheetData>
  <dataConsolidate/>
  <mergeCells count="3">
    <mergeCell ref="B2:C2"/>
    <mergeCell ref="B23:C23"/>
    <mergeCell ref="E22:F22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2:K33"/>
  <sheetViews>
    <sheetView workbookViewId="0">
      <selection activeCell="C17" sqref="C17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11" x14ac:dyDescent="0.3">
      <c r="B4" s="8" t="s">
        <v>1</v>
      </c>
      <c r="C4" s="9">
        <v>39965</v>
      </c>
      <c r="E4" s="8" t="s">
        <v>47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>
        <v>60</v>
      </c>
    </row>
    <row r="7" spans="2:11" x14ac:dyDescent="0.3">
      <c r="B7" s="11" t="s">
        <v>50</v>
      </c>
      <c r="C7" s="7" t="s">
        <v>51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>
        <v>5</v>
      </c>
    </row>
    <row r="10" spans="2:11" x14ac:dyDescent="0.3">
      <c r="B10" s="8" t="s">
        <v>29</v>
      </c>
      <c r="C10" s="7">
        <v>1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2</v>
      </c>
      <c r="C12" s="10">
        <v>1000000000</v>
      </c>
    </row>
    <row r="13" spans="2:11" x14ac:dyDescent="0.3">
      <c r="B13" s="11" t="s">
        <v>32</v>
      </c>
      <c r="C13" s="7" t="s">
        <v>21</v>
      </c>
    </row>
    <row r="14" spans="2:11" x14ac:dyDescent="0.3">
      <c r="B14" s="8" t="s">
        <v>3</v>
      </c>
      <c r="C14" s="7" t="s">
        <v>19</v>
      </c>
    </row>
    <row r="15" spans="2:11" x14ac:dyDescent="0.3">
      <c r="B15" s="8" t="s">
        <v>4</v>
      </c>
      <c r="C15" s="7" t="s">
        <v>24</v>
      </c>
    </row>
    <row r="16" spans="2:11" x14ac:dyDescent="0.3">
      <c r="B16" s="8" t="s">
        <v>30</v>
      </c>
      <c r="C16" s="7" t="s">
        <v>75</v>
      </c>
    </row>
    <row r="17" spans="2:6" ht="27" x14ac:dyDescent="0.3">
      <c r="B17" s="11" t="s">
        <v>22</v>
      </c>
      <c r="C17" s="7" t="s">
        <v>25</v>
      </c>
    </row>
    <row r="18" spans="2:6" x14ac:dyDescent="0.3">
      <c r="B18" s="8" t="s">
        <v>5</v>
      </c>
      <c r="C18" s="10">
        <v>992000000</v>
      </c>
    </row>
    <row r="19" spans="2:6" x14ac:dyDescent="0.3">
      <c r="B19" s="8" t="s">
        <v>6</v>
      </c>
      <c r="C19" s="10">
        <v>1000000000</v>
      </c>
    </row>
    <row r="20" spans="2:6" x14ac:dyDescent="0.3">
      <c r="B20" s="8" t="s">
        <v>49</v>
      </c>
      <c r="C20" s="21">
        <v>1</v>
      </c>
    </row>
    <row r="21" spans="2:6" ht="17.25" thickBot="1" x14ac:dyDescent="0.35">
      <c r="B21" s="12" t="s">
        <v>44</v>
      </c>
      <c r="C21" s="13" t="s">
        <v>45</v>
      </c>
    </row>
    <row r="22" spans="2:6" ht="17.25" x14ac:dyDescent="0.3">
      <c r="E22" s="24" t="s">
        <v>7</v>
      </c>
      <c r="F22" s="24"/>
    </row>
    <row r="23" spans="2:6" ht="17.25" x14ac:dyDescent="0.3">
      <c r="B23" s="23" t="s">
        <v>14</v>
      </c>
      <c r="C23" s="23"/>
      <c r="E23" s="1" t="s">
        <v>12</v>
      </c>
      <c r="F23" s="1">
        <v>100.86826972907704</v>
      </c>
    </row>
    <row r="24" spans="2:6" x14ac:dyDescent="0.3">
      <c r="B24" s="1" t="s">
        <v>31</v>
      </c>
      <c r="C24" s="2">
        <v>38870</v>
      </c>
      <c r="E24" s="1" t="s">
        <v>8</v>
      </c>
      <c r="F24" s="1">
        <v>9.4194509151049335E-2</v>
      </c>
    </row>
    <row r="25" spans="2:6" x14ac:dyDescent="0.3">
      <c r="B25" s="1" t="s">
        <v>33</v>
      </c>
      <c r="C25" s="4">
        <v>0.3</v>
      </c>
      <c r="E25" s="1" t="s">
        <v>9</v>
      </c>
      <c r="F25" s="1">
        <v>-4.7116989754052386E-3</v>
      </c>
    </row>
    <row r="26" spans="2:6" x14ac:dyDescent="0.3">
      <c r="B26" s="1" t="s">
        <v>34</v>
      </c>
      <c r="C26" s="4">
        <v>0</v>
      </c>
      <c r="E26" s="1" t="s">
        <v>10</v>
      </c>
      <c r="F26" s="1">
        <v>0</v>
      </c>
    </row>
    <row r="27" spans="2:6" x14ac:dyDescent="0.3">
      <c r="B27" s="1" t="s">
        <v>18</v>
      </c>
      <c r="C27" s="4">
        <v>0.05</v>
      </c>
      <c r="E27" s="1" t="s">
        <v>11</v>
      </c>
      <c r="F27" s="1">
        <v>1.8338332582089834E-2</v>
      </c>
    </row>
    <row r="28" spans="2:6" x14ac:dyDescent="0.3">
      <c r="B28" s="1" t="s">
        <v>35</v>
      </c>
      <c r="C28" s="1">
        <v>100</v>
      </c>
      <c r="E28" s="1" t="s">
        <v>13</v>
      </c>
      <c r="F28" s="1">
        <v>-0.1001411056223418</v>
      </c>
    </row>
    <row r="30" spans="2:6" x14ac:dyDescent="0.3">
      <c r="B30" s="1" t="s">
        <v>37</v>
      </c>
      <c r="C30" s="1" t="b">
        <v>0</v>
      </c>
    </row>
    <row r="31" spans="2:6" x14ac:dyDescent="0.3">
      <c r="B31" s="1" t="s">
        <v>38</v>
      </c>
      <c r="C31" s="1" t="b">
        <v>0</v>
      </c>
    </row>
    <row r="33" spans="2:3" x14ac:dyDescent="0.3">
      <c r="B33" s="1" t="s">
        <v>40</v>
      </c>
      <c r="C33" s="1">
        <v>2000</v>
      </c>
    </row>
  </sheetData>
  <dataConsolidate/>
  <mergeCells count="3">
    <mergeCell ref="B2:C2"/>
    <mergeCell ref="B23:C23"/>
    <mergeCell ref="E22:F22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2:K33"/>
  <sheetViews>
    <sheetView workbookViewId="0">
      <selection activeCell="J22" sqref="J22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11" x14ac:dyDescent="0.3">
      <c r="B4" s="8" t="s">
        <v>1</v>
      </c>
      <c r="C4" s="9">
        <v>39965</v>
      </c>
      <c r="E4" s="8" t="s">
        <v>46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>
        <v>60</v>
      </c>
    </row>
    <row r="7" spans="2:11" x14ac:dyDescent="0.3">
      <c r="B7" s="11" t="s">
        <v>50</v>
      </c>
      <c r="C7" s="7">
        <v>110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>
        <v>5</v>
      </c>
    </row>
    <row r="10" spans="2:11" x14ac:dyDescent="0.3">
      <c r="B10" s="8" t="s">
        <v>29</v>
      </c>
      <c r="C10" s="7">
        <v>1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2</v>
      </c>
      <c r="C12" s="10">
        <v>1000000000</v>
      </c>
    </row>
    <row r="13" spans="2:11" x14ac:dyDescent="0.3">
      <c r="B13" s="11" t="s">
        <v>32</v>
      </c>
      <c r="C13" s="7" t="s">
        <v>21</v>
      </c>
    </row>
    <row r="14" spans="2:11" x14ac:dyDescent="0.3">
      <c r="B14" s="8" t="s">
        <v>3</v>
      </c>
      <c r="C14" s="7" t="s">
        <v>19</v>
      </c>
    </row>
    <row r="15" spans="2:11" x14ac:dyDescent="0.3">
      <c r="B15" s="8" t="s">
        <v>4</v>
      </c>
      <c r="C15" s="7" t="s">
        <v>24</v>
      </c>
    </row>
    <row r="16" spans="2:11" x14ac:dyDescent="0.3">
      <c r="B16" s="8" t="s">
        <v>30</v>
      </c>
      <c r="C16" s="7" t="s">
        <v>20</v>
      </c>
    </row>
    <row r="17" spans="2:6" ht="27" x14ac:dyDescent="0.3">
      <c r="B17" s="11" t="s">
        <v>22</v>
      </c>
      <c r="C17" s="7" t="s">
        <v>25</v>
      </c>
    </row>
    <row r="18" spans="2:6" x14ac:dyDescent="0.3">
      <c r="B18" s="8" t="s">
        <v>5</v>
      </c>
      <c r="C18" s="10">
        <v>992000000</v>
      </c>
    </row>
    <row r="19" spans="2:6" x14ac:dyDescent="0.3">
      <c r="B19" s="8" t="s">
        <v>6</v>
      </c>
      <c r="C19" s="10">
        <v>1000000000</v>
      </c>
    </row>
    <row r="20" spans="2:6" x14ac:dyDescent="0.3">
      <c r="B20" s="8" t="s">
        <v>49</v>
      </c>
      <c r="C20" s="21">
        <v>1</v>
      </c>
    </row>
    <row r="21" spans="2:6" ht="17.25" thickBot="1" x14ac:dyDescent="0.35">
      <c r="B21" s="12" t="s">
        <v>44</v>
      </c>
      <c r="C21" s="13" t="s">
        <v>39</v>
      </c>
    </row>
    <row r="22" spans="2:6" ht="17.25" x14ac:dyDescent="0.3">
      <c r="E22" s="24" t="s">
        <v>7</v>
      </c>
      <c r="F22" s="24"/>
    </row>
    <row r="23" spans="2:6" ht="17.25" x14ac:dyDescent="0.3">
      <c r="B23" s="23" t="s">
        <v>14</v>
      </c>
      <c r="C23" s="23"/>
      <c r="E23" s="1" t="s">
        <v>12</v>
      </c>
      <c r="F23" s="1">
        <v>97.118400835297251</v>
      </c>
    </row>
    <row r="24" spans="2:6" x14ac:dyDescent="0.3">
      <c r="B24" s="1" t="s">
        <v>31</v>
      </c>
      <c r="C24" s="2">
        <v>38870</v>
      </c>
      <c r="E24" s="1" t="s">
        <v>8</v>
      </c>
      <c r="F24" s="1">
        <v>0.56773592082348556</v>
      </c>
    </row>
    <row r="25" spans="2:6" x14ac:dyDescent="0.3">
      <c r="B25" s="1" t="s">
        <v>33</v>
      </c>
      <c r="C25" s="4">
        <v>0.3</v>
      </c>
      <c r="E25" s="1" t="s">
        <v>9</v>
      </c>
      <c r="F25" s="1">
        <v>-9.1145270204450665E-3</v>
      </c>
    </row>
    <row r="26" spans="2:6" x14ac:dyDescent="0.3">
      <c r="B26" s="1" t="s">
        <v>34</v>
      </c>
      <c r="C26" s="4">
        <v>0</v>
      </c>
      <c r="E26" s="1" t="s">
        <v>10</v>
      </c>
      <c r="F26" s="1">
        <v>0</v>
      </c>
    </row>
    <row r="27" spans="2:6" x14ac:dyDescent="0.3">
      <c r="B27" s="1" t="s">
        <v>18</v>
      </c>
      <c r="C27" s="4">
        <v>0.05</v>
      </c>
      <c r="E27" s="1" t="s">
        <v>11</v>
      </c>
      <c r="F27" s="1">
        <v>1.6767937679071931E-2</v>
      </c>
    </row>
    <row r="28" spans="2:6" x14ac:dyDescent="0.3">
      <c r="B28" s="1" t="s">
        <v>35</v>
      </c>
      <c r="C28" s="1">
        <v>100</v>
      </c>
      <c r="E28" s="1" t="s">
        <v>13</v>
      </c>
      <c r="F28" s="1">
        <v>-0.18579179056962403</v>
      </c>
    </row>
    <row r="30" spans="2:6" x14ac:dyDescent="0.3">
      <c r="B30" s="1" t="s">
        <v>37</v>
      </c>
      <c r="C30" s="1" t="b">
        <v>0</v>
      </c>
    </row>
    <row r="31" spans="2:6" x14ac:dyDescent="0.3">
      <c r="B31" s="1" t="s">
        <v>38</v>
      </c>
      <c r="C31" s="1" t="b">
        <v>0</v>
      </c>
    </row>
    <row r="33" spans="2:3" x14ac:dyDescent="0.3">
      <c r="B33" s="1" t="s">
        <v>40</v>
      </c>
      <c r="C33" s="1">
        <v>2000</v>
      </c>
    </row>
  </sheetData>
  <dataConsolidate/>
  <mergeCells count="3">
    <mergeCell ref="B2:C2"/>
    <mergeCell ref="B23:C23"/>
    <mergeCell ref="E22:F22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2:K39"/>
  <sheetViews>
    <sheetView workbookViewId="0">
      <selection activeCell="C10" sqref="C10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11" x14ac:dyDescent="0.3">
      <c r="B4" s="8" t="s">
        <v>1</v>
      </c>
      <c r="C4" s="9">
        <v>39965</v>
      </c>
      <c r="E4" s="8" t="s">
        <v>46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>
        <v>60</v>
      </c>
    </row>
    <row r="7" spans="2:11" x14ac:dyDescent="0.3">
      <c r="B7" s="11" t="s">
        <v>50</v>
      </c>
      <c r="C7" s="7" t="s">
        <v>51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>
        <v>5</v>
      </c>
    </row>
    <row r="10" spans="2:11" x14ac:dyDescent="0.3">
      <c r="B10" s="8" t="s">
        <v>29</v>
      </c>
      <c r="C10" s="7">
        <v>2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52</v>
      </c>
      <c r="C12" s="7" t="s">
        <v>53</v>
      </c>
    </row>
    <row r="13" spans="2:11" x14ac:dyDescent="0.3">
      <c r="B13" s="8" t="s">
        <v>2</v>
      </c>
      <c r="C13" s="10">
        <v>1000000000</v>
      </c>
    </row>
    <row r="14" spans="2:11" x14ac:dyDescent="0.3">
      <c r="B14" s="11" t="s">
        <v>32</v>
      </c>
      <c r="C14" s="7" t="s">
        <v>21</v>
      </c>
    </row>
    <row r="15" spans="2:11" x14ac:dyDescent="0.3">
      <c r="B15" s="8" t="s">
        <v>3</v>
      </c>
      <c r="C15" s="7" t="s">
        <v>19</v>
      </c>
    </row>
    <row r="16" spans="2:11" x14ac:dyDescent="0.3">
      <c r="B16" s="8" t="s">
        <v>4</v>
      </c>
      <c r="C16" s="7" t="s">
        <v>24</v>
      </c>
    </row>
    <row r="17" spans="2:11" x14ac:dyDescent="0.3">
      <c r="B17" s="8" t="s">
        <v>30</v>
      </c>
      <c r="C17" s="7" t="s">
        <v>54</v>
      </c>
    </row>
    <row r="18" spans="2:11" ht="27" x14ac:dyDescent="0.3">
      <c r="B18" s="11" t="s">
        <v>22</v>
      </c>
      <c r="C18" s="7" t="s">
        <v>25</v>
      </c>
    </row>
    <row r="19" spans="2:11" x14ac:dyDescent="0.3">
      <c r="B19" s="8" t="s">
        <v>5</v>
      </c>
      <c r="C19" s="10">
        <v>992000000</v>
      </c>
    </row>
    <row r="20" spans="2:11" x14ac:dyDescent="0.3">
      <c r="B20" s="8" t="s">
        <v>6</v>
      </c>
      <c r="C20" s="10">
        <v>1000000000</v>
      </c>
    </row>
    <row r="21" spans="2:11" x14ac:dyDescent="0.3">
      <c r="B21" s="8" t="s">
        <v>49</v>
      </c>
      <c r="C21" s="21">
        <v>1</v>
      </c>
    </row>
    <row r="22" spans="2:11" ht="17.25" thickBot="1" x14ac:dyDescent="0.35">
      <c r="B22" s="12" t="s">
        <v>44</v>
      </c>
      <c r="C22" s="13" t="s">
        <v>39</v>
      </c>
    </row>
    <row r="23" spans="2:11" ht="17.25" x14ac:dyDescent="0.3">
      <c r="E23" s="24" t="s">
        <v>7</v>
      </c>
      <c r="F23" s="24"/>
    </row>
    <row r="24" spans="2:11" ht="17.25" x14ac:dyDescent="0.3">
      <c r="B24" s="23" t="s">
        <v>14</v>
      </c>
      <c r="C24" s="23"/>
      <c r="E24" s="1" t="s">
        <v>12</v>
      </c>
      <c r="F24" s="1">
        <v>90.663242014235578</v>
      </c>
    </row>
    <row r="25" spans="2:11" x14ac:dyDescent="0.3">
      <c r="B25" s="1" t="s">
        <v>31</v>
      </c>
      <c r="C25" s="2">
        <v>38870</v>
      </c>
      <c r="E25" s="1" t="s">
        <v>59</v>
      </c>
      <c r="F25" s="1">
        <v>0.39929042247389035</v>
      </c>
    </row>
    <row r="26" spans="2:11" x14ac:dyDescent="0.3">
      <c r="B26" s="1" t="s">
        <v>33</v>
      </c>
      <c r="C26" s="4">
        <v>0.3</v>
      </c>
      <c r="E26" s="1" t="s">
        <v>60</v>
      </c>
      <c r="F26" s="1">
        <v>0.27819150377834184</v>
      </c>
    </row>
    <row r="27" spans="2:11" x14ac:dyDescent="0.3">
      <c r="B27" s="1" t="s">
        <v>56</v>
      </c>
      <c r="C27" s="4">
        <v>0.2</v>
      </c>
      <c r="E27" s="1" t="s">
        <v>61</v>
      </c>
      <c r="F27" s="1">
        <v>-1.6670564146723296E-2</v>
      </c>
    </row>
    <row r="28" spans="2:11" x14ac:dyDescent="0.3">
      <c r="B28" s="1" t="s">
        <v>34</v>
      </c>
      <c r="C28" s="4">
        <v>0</v>
      </c>
      <c r="E28" s="1" t="s">
        <v>62</v>
      </c>
      <c r="F28" s="1">
        <v>-1.9008611692463168E-2</v>
      </c>
    </row>
    <row r="29" spans="2:11" x14ac:dyDescent="0.3">
      <c r="B29" s="1" t="s">
        <v>57</v>
      </c>
      <c r="C29" s="4">
        <v>0</v>
      </c>
      <c r="E29" s="1" t="s">
        <v>63</v>
      </c>
      <c r="F29" s="1">
        <v>4.7694896952150878E-3</v>
      </c>
    </row>
    <row r="30" spans="2:11" x14ac:dyDescent="0.3">
      <c r="B30" s="1" t="s">
        <v>55</v>
      </c>
      <c r="C30" s="4">
        <v>0.5</v>
      </c>
      <c r="E30" s="1" t="s">
        <v>10</v>
      </c>
      <c r="F30" s="1">
        <v>0</v>
      </c>
    </row>
    <row r="31" spans="2:11" x14ac:dyDescent="0.3">
      <c r="B31" s="1" t="s">
        <v>18</v>
      </c>
      <c r="C31" s="4">
        <v>0.05</v>
      </c>
      <c r="E31" s="1" t="s">
        <v>11</v>
      </c>
      <c r="F31" s="1">
        <v>3.0195046068783427E-2</v>
      </c>
    </row>
    <row r="32" spans="2:11" s="1" customFormat="1" x14ac:dyDescent="0.3">
      <c r="B32" s="1" t="s">
        <v>35</v>
      </c>
      <c r="C32" s="1">
        <v>100</v>
      </c>
      <c r="E32" s="1" t="s">
        <v>64</v>
      </c>
      <c r="F32" s="1">
        <v>-0.52781395087187377</v>
      </c>
      <c r="H32"/>
      <c r="I32"/>
      <c r="J32"/>
      <c r="K32"/>
    </row>
    <row r="33" spans="2:11" s="1" customFormat="1" x14ac:dyDescent="0.3">
      <c r="B33" s="1" t="s">
        <v>58</v>
      </c>
      <c r="C33" s="1">
        <v>100</v>
      </c>
      <c r="E33" s="1" t="s">
        <v>65</v>
      </c>
      <c r="F33" s="1">
        <v>-0.34911759043669122</v>
      </c>
      <c r="H33"/>
      <c r="I33"/>
      <c r="J33"/>
      <c r="K33"/>
    </row>
    <row r="34" spans="2:11" s="1" customFormat="1" x14ac:dyDescent="0.3">
      <c r="H34"/>
      <c r="I34"/>
      <c r="J34"/>
      <c r="K34"/>
    </row>
    <row r="35" spans="2:11" x14ac:dyDescent="0.3">
      <c r="B35" s="1" t="s">
        <v>37</v>
      </c>
      <c r="C35" s="1" t="b">
        <v>0</v>
      </c>
    </row>
    <row r="36" spans="2:11" x14ac:dyDescent="0.3">
      <c r="B36" s="1" t="s">
        <v>38</v>
      </c>
      <c r="C36" s="1" t="b">
        <v>0</v>
      </c>
    </row>
    <row r="38" spans="2:11" x14ac:dyDescent="0.3">
      <c r="B38" s="1" t="s">
        <v>40</v>
      </c>
      <c r="C38" s="1">
        <v>100</v>
      </c>
    </row>
    <row r="39" spans="2:11" x14ac:dyDescent="0.3">
      <c r="B39" s="1" t="s">
        <v>66</v>
      </c>
      <c r="C39" s="1">
        <v>100</v>
      </c>
    </row>
  </sheetData>
  <dataConsolidate/>
  <mergeCells count="3">
    <mergeCell ref="B2:C2"/>
    <mergeCell ref="E23:F23"/>
    <mergeCell ref="B24:C24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2:K39"/>
  <sheetViews>
    <sheetView topLeftCell="A4" workbookViewId="0">
      <selection activeCell="C10" sqref="C10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60</v>
      </c>
    </row>
    <row r="4" spans="2:11" x14ac:dyDescent="0.3">
      <c r="B4" s="8" t="s">
        <v>1</v>
      </c>
      <c r="C4" s="9">
        <v>39965</v>
      </c>
      <c r="E4" s="8" t="s">
        <v>46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 t="s">
        <v>39</v>
      </c>
    </row>
    <row r="7" spans="2:11" x14ac:dyDescent="0.3">
      <c r="B7" s="11" t="s">
        <v>50</v>
      </c>
      <c r="C7" s="7" t="s">
        <v>51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 t="s">
        <v>39</v>
      </c>
    </row>
    <row r="10" spans="2:11" x14ac:dyDescent="0.3">
      <c r="B10" s="8" t="s">
        <v>29</v>
      </c>
      <c r="C10" s="7">
        <v>2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52</v>
      </c>
      <c r="C12" s="7" t="s">
        <v>67</v>
      </c>
    </row>
    <row r="13" spans="2:11" x14ac:dyDescent="0.3">
      <c r="B13" s="8" t="s">
        <v>2</v>
      </c>
      <c r="C13" s="10">
        <v>1000000000</v>
      </c>
    </row>
    <row r="14" spans="2:11" x14ac:dyDescent="0.3">
      <c r="B14" s="11" t="s">
        <v>32</v>
      </c>
      <c r="C14" s="7" t="s">
        <v>21</v>
      </c>
    </row>
    <row r="15" spans="2:11" x14ac:dyDescent="0.3">
      <c r="B15" s="8" t="s">
        <v>3</v>
      </c>
      <c r="C15" s="7" t="s">
        <v>19</v>
      </c>
    </row>
    <row r="16" spans="2:11" x14ac:dyDescent="0.3">
      <c r="B16" s="8" t="s">
        <v>4</v>
      </c>
      <c r="C16" s="7" t="s">
        <v>24</v>
      </c>
    </row>
    <row r="17" spans="2:6" x14ac:dyDescent="0.3">
      <c r="B17" s="8" t="s">
        <v>30</v>
      </c>
      <c r="C17" s="7" t="s">
        <v>68</v>
      </c>
    </row>
    <row r="18" spans="2:6" ht="27" x14ac:dyDescent="0.3">
      <c r="B18" s="11" t="s">
        <v>22</v>
      </c>
      <c r="C18" s="7" t="s">
        <v>25</v>
      </c>
    </row>
    <row r="19" spans="2:6" x14ac:dyDescent="0.3">
      <c r="B19" s="8" t="s">
        <v>5</v>
      </c>
      <c r="C19" s="10">
        <v>992000000</v>
      </c>
    </row>
    <row r="20" spans="2:6" x14ac:dyDescent="0.3">
      <c r="B20" s="8" t="s">
        <v>6</v>
      </c>
      <c r="C20" s="10">
        <v>1000000000</v>
      </c>
    </row>
    <row r="21" spans="2:6" x14ac:dyDescent="0.3">
      <c r="B21" s="8" t="s">
        <v>49</v>
      </c>
      <c r="C21" s="21">
        <v>1</v>
      </c>
    </row>
    <row r="22" spans="2:6" ht="17.25" thickBot="1" x14ac:dyDescent="0.35">
      <c r="B22" s="12" t="s">
        <v>44</v>
      </c>
      <c r="C22" s="13" t="s">
        <v>39</v>
      </c>
    </row>
    <row r="23" spans="2:6" ht="17.25" x14ac:dyDescent="0.3">
      <c r="E23" s="24" t="s">
        <v>7</v>
      </c>
      <c r="F23" s="24"/>
    </row>
    <row r="24" spans="2:6" ht="17.25" x14ac:dyDescent="0.3">
      <c r="B24" s="23" t="s">
        <v>14</v>
      </c>
      <c r="C24" s="23"/>
      <c r="E24" s="1" t="s">
        <v>12</v>
      </c>
      <c r="F24" s="1">
        <v>78.155116775760419</v>
      </c>
    </row>
    <row r="25" spans="2:6" x14ac:dyDescent="0.3">
      <c r="B25" s="1" t="s">
        <v>31</v>
      </c>
      <c r="C25" s="2">
        <v>38870</v>
      </c>
      <c r="E25" s="1" t="s">
        <v>59</v>
      </c>
      <c r="F25" s="1">
        <v>0.16571160729627521</v>
      </c>
    </row>
    <row r="26" spans="2:6" x14ac:dyDescent="0.3">
      <c r="B26" s="1" t="s">
        <v>33</v>
      </c>
      <c r="C26" s="4">
        <v>0.3</v>
      </c>
      <c r="E26" s="1" t="s">
        <v>60</v>
      </c>
      <c r="F26" s="1">
        <v>0.93769418563480778</v>
      </c>
    </row>
    <row r="27" spans="2:6" x14ac:dyDescent="0.3">
      <c r="B27" s="1" t="s">
        <v>56</v>
      </c>
      <c r="C27" s="4">
        <v>0.2</v>
      </c>
      <c r="E27" s="1" t="s">
        <v>61</v>
      </c>
      <c r="F27" s="1">
        <v>-8.1664806998233957E-3</v>
      </c>
    </row>
    <row r="28" spans="2:6" x14ac:dyDescent="0.3">
      <c r="B28" s="1" t="s">
        <v>34</v>
      </c>
      <c r="C28" s="4">
        <v>0</v>
      </c>
      <c r="E28" s="1" t="s">
        <v>62</v>
      </c>
      <c r="F28" s="1">
        <v>-2.3911860063992884E-2</v>
      </c>
    </row>
    <row r="29" spans="2:6" x14ac:dyDescent="0.3">
      <c r="B29" s="1" t="s">
        <v>57</v>
      </c>
      <c r="C29" s="4">
        <v>0</v>
      </c>
      <c r="E29" s="1" t="s">
        <v>63</v>
      </c>
      <c r="F29" s="1">
        <v>8.8081439311530219E-3</v>
      </c>
    </row>
    <row r="30" spans="2:6" x14ac:dyDescent="0.3">
      <c r="B30" s="1" t="s">
        <v>55</v>
      </c>
      <c r="C30" s="4">
        <v>0.5</v>
      </c>
      <c r="E30" s="1" t="s">
        <v>10</v>
      </c>
      <c r="F30" s="1">
        <v>0</v>
      </c>
    </row>
    <row r="31" spans="2:6" x14ac:dyDescent="0.3">
      <c r="B31" s="1" t="s">
        <v>18</v>
      </c>
      <c r="C31" s="4">
        <v>0.05</v>
      </c>
      <c r="E31" s="1" t="s">
        <v>11</v>
      </c>
      <c r="F31" s="1">
        <v>6.2912163670560517E-2</v>
      </c>
    </row>
    <row r="32" spans="2:6" x14ac:dyDescent="0.3">
      <c r="B32" s="1" t="s">
        <v>35</v>
      </c>
      <c r="C32" s="1">
        <v>100</v>
      </c>
      <c r="E32" s="1" t="s">
        <v>64</v>
      </c>
      <c r="F32" s="1">
        <v>-0.26395874955052534</v>
      </c>
    </row>
    <row r="33" spans="2:6" x14ac:dyDescent="0.3">
      <c r="B33" s="1" t="s">
        <v>58</v>
      </c>
      <c r="C33" s="1">
        <v>100</v>
      </c>
      <c r="E33" s="1" t="s">
        <v>65</v>
      </c>
      <c r="F33" s="1">
        <v>-0.43117310444004886</v>
      </c>
    </row>
    <row r="35" spans="2:6" x14ac:dyDescent="0.3">
      <c r="B35" s="1" t="s">
        <v>37</v>
      </c>
      <c r="C35" s="1" t="b">
        <v>0</v>
      </c>
    </row>
    <row r="36" spans="2:6" x14ac:dyDescent="0.3">
      <c r="B36" s="1" t="s">
        <v>38</v>
      </c>
      <c r="C36" s="1" t="b">
        <v>0</v>
      </c>
    </row>
    <row r="38" spans="2:6" x14ac:dyDescent="0.3">
      <c r="B38" s="1" t="s">
        <v>40</v>
      </c>
      <c r="C38" s="1">
        <v>100</v>
      </c>
    </row>
    <row r="39" spans="2:6" x14ac:dyDescent="0.3">
      <c r="B39" s="1" t="s">
        <v>66</v>
      </c>
      <c r="C39" s="1">
        <v>100</v>
      </c>
    </row>
  </sheetData>
  <dataConsolidate/>
  <mergeCells count="3">
    <mergeCell ref="B2:C2"/>
    <mergeCell ref="E23:F23"/>
    <mergeCell ref="B24:C24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2:AP39"/>
  <sheetViews>
    <sheetView topLeftCell="A9" workbookViewId="0">
      <selection activeCell="C10" sqref="C10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3" width="9.75" bestFit="1" customWidth="1"/>
  </cols>
  <sheetData>
    <row r="2" spans="2:42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42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42" x14ac:dyDescent="0.3">
      <c r="B4" s="8" t="s">
        <v>1</v>
      </c>
      <c r="C4" s="9">
        <v>39965</v>
      </c>
      <c r="E4" s="8" t="s">
        <v>46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7">
        <v>0</v>
      </c>
    </row>
    <row r="5" spans="2:42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42" x14ac:dyDescent="0.3">
      <c r="B6" s="11" t="s">
        <v>23</v>
      </c>
      <c r="C6" s="7">
        <v>60</v>
      </c>
    </row>
    <row r="7" spans="2:42" ht="17.25" thickBot="1" x14ac:dyDescent="0.35">
      <c r="B7" s="11" t="s">
        <v>50</v>
      </c>
      <c r="C7" s="7" t="s">
        <v>51</v>
      </c>
      <c r="F7" s="1">
        <v>0</v>
      </c>
      <c r="G7" s="1">
        <v>1</v>
      </c>
      <c r="H7" s="1">
        <v>2</v>
      </c>
      <c r="I7" s="1">
        <v>3</v>
      </c>
      <c r="J7" s="1">
        <v>4</v>
      </c>
      <c r="K7" s="1">
        <v>5</v>
      </c>
      <c r="L7" s="1">
        <v>6</v>
      </c>
      <c r="M7" s="1">
        <v>7</v>
      </c>
      <c r="N7" s="1">
        <v>8</v>
      </c>
      <c r="O7" s="1">
        <v>9</v>
      </c>
      <c r="P7" s="1">
        <v>10</v>
      </c>
      <c r="Q7" s="1">
        <v>11</v>
      </c>
      <c r="R7" s="1">
        <v>12</v>
      </c>
      <c r="S7" s="1">
        <v>13</v>
      </c>
      <c r="T7" s="1">
        <v>14</v>
      </c>
      <c r="U7" s="1">
        <v>15</v>
      </c>
      <c r="V7" s="1">
        <v>16</v>
      </c>
      <c r="W7" s="1">
        <v>17</v>
      </c>
      <c r="X7" s="1">
        <v>18</v>
      </c>
      <c r="Y7" s="1">
        <v>19</v>
      </c>
      <c r="Z7" s="1">
        <v>20</v>
      </c>
      <c r="AA7" s="1">
        <v>21</v>
      </c>
      <c r="AB7" s="1">
        <v>22</v>
      </c>
      <c r="AC7" s="1">
        <v>23</v>
      </c>
      <c r="AD7" s="1">
        <v>24</v>
      </c>
      <c r="AE7" s="1">
        <v>25</v>
      </c>
      <c r="AF7" s="1">
        <v>26</v>
      </c>
      <c r="AG7" s="1">
        <v>27</v>
      </c>
      <c r="AH7" s="1">
        <v>28</v>
      </c>
      <c r="AI7" s="1">
        <v>29</v>
      </c>
      <c r="AJ7" s="1">
        <v>30</v>
      </c>
      <c r="AK7" s="1">
        <v>31</v>
      </c>
      <c r="AL7" s="1">
        <v>32</v>
      </c>
      <c r="AM7" s="1">
        <v>33</v>
      </c>
      <c r="AN7" s="1">
        <v>34</v>
      </c>
      <c r="AO7" s="1">
        <v>35</v>
      </c>
      <c r="AP7" s="1"/>
    </row>
    <row r="8" spans="2:42" x14ac:dyDescent="0.3">
      <c r="B8" s="11" t="s">
        <v>26</v>
      </c>
      <c r="C8" s="7">
        <v>6</v>
      </c>
      <c r="E8" s="5" t="s">
        <v>42</v>
      </c>
      <c r="F8" s="14">
        <v>90</v>
      </c>
      <c r="G8" s="14">
        <v>90</v>
      </c>
      <c r="H8" s="14">
        <v>90</v>
      </c>
      <c r="I8" s="14">
        <v>90</v>
      </c>
      <c r="J8" s="14">
        <v>90</v>
      </c>
      <c r="K8" s="14">
        <v>90</v>
      </c>
      <c r="L8" s="14">
        <v>90</v>
      </c>
      <c r="M8" s="14">
        <v>90</v>
      </c>
      <c r="N8" s="14">
        <v>90</v>
      </c>
      <c r="O8" s="14">
        <v>90</v>
      </c>
      <c r="P8" s="14">
        <v>90</v>
      </c>
      <c r="Q8" s="14">
        <v>90</v>
      </c>
      <c r="R8" s="19">
        <v>85</v>
      </c>
      <c r="S8" s="19">
        <v>85</v>
      </c>
      <c r="T8" s="19">
        <v>85</v>
      </c>
      <c r="U8" s="19">
        <v>85</v>
      </c>
      <c r="V8" s="19">
        <v>85</v>
      </c>
      <c r="W8" s="19">
        <v>85</v>
      </c>
      <c r="X8" s="19">
        <v>85</v>
      </c>
      <c r="Y8" s="19">
        <v>85</v>
      </c>
      <c r="Z8" s="19">
        <v>85</v>
      </c>
      <c r="AA8" s="19">
        <v>85</v>
      </c>
      <c r="AB8" s="19">
        <v>85</v>
      </c>
      <c r="AC8" s="19">
        <v>85</v>
      </c>
      <c r="AD8" s="19">
        <v>80</v>
      </c>
      <c r="AE8" s="19">
        <v>80</v>
      </c>
      <c r="AF8" s="19">
        <v>80</v>
      </c>
      <c r="AG8" s="19">
        <v>80</v>
      </c>
      <c r="AH8" s="19">
        <v>80</v>
      </c>
      <c r="AI8" s="19">
        <v>80</v>
      </c>
      <c r="AJ8" s="19">
        <v>80</v>
      </c>
      <c r="AK8" s="19">
        <v>80</v>
      </c>
      <c r="AL8" s="19">
        <v>80</v>
      </c>
      <c r="AM8" s="19">
        <v>80</v>
      </c>
      <c r="AN8" s="19">
        <v>80</v>
      </c>
      <c r="AO8" s="20">
        <v>80</v>
      </c>
    </row>
    <row r="9" spans="2:42" x14ac:dyDescent="0.3">
      <c r="B9" s="8" t="s">
        <v>36</v>
      </c>
      <c r="C9" s="7" t="s">
        <v>39</v>
      </c>
      <c r="E9" s="8" t="s">
        <v>48</v>
      </c>
      <c r="F9" s="16">
        <f>$C$5/12</f>
        <v>0.83333333333333337</v>
      </c>
      <c r="G9" s="16">
        <f t="shared" ref="G9:AO9" si="0">$C$5/12</f>
        <v>0.83333333333333337</v>
      </c>
      <c r="H9" s="16">
        <f t="shared" si="0"/>
        <v>0.83333333333333337</v>
      </c>
      <c r="I9" s="16">
        <f t="shared" si="0"/>
        <v>0.83333333333333337</v>
      </c>
      <c r="J9" s="16">
        <f t="shared" si="0"/>
        <v>0.83333333333333337</v>
      </c>
      <c r="K9" s="16">
        <f t="shared" si="0"/>
        <v>0.83333333333333337</v>
      </c>
      <c r="L9" s="16">
        <f t="shared" si="0"/>
        <v>0.83333333333333337</v>
      </c>
      <c r="M9" s="16">
        <f t="shared" si="0"/>
        <v>0.83333333333333337</v>
      </c>
      <c r="N9" s="16">
        <f t="shared" si="0"/>
        <v>0.83333333333333337</v>
      </c>
      <c r="O9" s="16">
        <f t="shared" si="0"/>
        <v>0.83333333333333337</v>
      </c>
      <c r="P9" s="16">
        <f t="shared" si="0"/>
        <v>0.83333333333333337</v>
      </c>
      <c r="Q9" s="16">
        <f t="shared" si="0"/>
        <v>0.83333333333333337</v>
      </c>
      <c r="R9" s="16">
        <f t="shared" si="0"/>
        <v>0.83333333333333337</v>
      </c>
      <c r="S9" s="16">
        <f t="shared" si="0"/>
        <v>0.83333333333333337</v>
      </c>
      <c r="T9" s="16">
        <f t="shared" si="0"/>
        <v>0.83333333333333337</v>
      </c>
      <c r="U9" s="16">
        <f t="shared" si="0"/>
        <v>0.83333333333333337</v>
      </c>
      <c r="V9" s="16">
        <f t="shared" si="0"/>
        <v>0.83333333333333337</v>
      </c>
      <c r="W9" s="16">
        <f t="shared" si="0"/>
        <v>0.83333333333333337</v>
      </c>
      <c r="X9" s="16">
        <f t="shared" si="0"/>
        <v>0.83333333333333337</v>
      </c>
      <c r="Y9" s="16">
        <f t="shared" si="0"/>
        <v>0.83333333333333337</v>
      </c>
      <c r="Z9" s="16">
        <f t="shared" si="0"/>
        <v>0.83333333333333337</v>
      </c>
      <c r="AA9" s="16">
        <f t="shared" si="0"/>
        <v>0.83333333333333337</v>
      </c>
      <c r="AB9" s="16">
        <f t="shared" si="0"/>
        <v>0.83333333333333337</v>
      </c>
      <c r="AC9" s="16">
        <f t="shared" si="0"/>
        <v>0.83333333333333337</v>
      </c>
      <c r="AD9" s="16">
        <f t="shared" si="0"/>
        <v>0.83333333333333337</v>
      </c>
      <c r="AE9" s="16">
        <f t="shared" si="0"/>
        <v>0.83333333333333337</v>
      </c>
      <c r="AF9" s="16">
        <f t="shared" si="0"/>
        <v>0.83333333333333337</v>
      </c>
      <c r="AG9" s="16">
        <f t="shared" si="0"/>
        <v>0.83333333333333337</v>
      </c>
      <c r="AH9" s="16">
        <f t="shared" si="0"/>
        <v>0.83333333333333337</v>
      </c>
      <c r="AI9" s="16">
        <f t="shared" si="0"/>
        <v>0.83333333333333337</v>
      </c>
      <c r="AJ9" s="16">
        <f t="shared" si="0"/>
        <v>0.83333333333333337</v>
      </c>
      <c r="AK9" s="16">
        <f t="shared" si="0"/>
        <v>0.83333333333333337</v>
      </c>
      <c r="AL9" s="16">
        <f t="shared" si="0"/>
        <v>0.83333333333333337</v>
      </c>
      <c r="AM9" s="16">
        <f t="shared" si="0"/>
        <v>0.83333333333333337</v>
      </c>
      <c r="AN9" s="16">
        <f t="shared" si="0"/>
        <v>0.83333333333333337</v>
      </c>
      <c r="AO9" s="7">
        <f t="shared" si="0"/>
        <v>0.83333333333333337</v>
      </c>
    </row>
    <row r="10" spans="2:42" ht="17.25" thickBot="1" x14ac:dyDescent="0.35">
      <c r="B10" s="8" t="s">
        <v>29</v>
      </c>
      <c r="C10" s="7">
        <v>2</v>
      </c>
      <c r="E10" s="12" t="s">
        <v>43</v>
      </c>
      <c r="F10" s="17">
        <v>38899</v>
      </c>
      <c r="G10" s="17">
        <v>38930</v>
      </c>
      <c r="H10" s="17">
        <v>38961</v>
      </c>
      <c r="I10" s="17">
        <v>38991</v>
      </c>
      <c r="J10" s="17">
        <v>39022</v>
      </c>
      <c r="K10" s="17">
        <v>39052</v>
      </c>
      <c r="L10" s="17">
        <v>39083</v>
      </c>
      <c r="M10" s="17">
        <v>39114</v>
      </c>
      <c r="N10" s="17">
        <v>39142</v>
      </c>
      <c r="O10" s="17">
        <v>39173</v>
      </c>
      <c r="P10" s="17">
        <v>39203</v>
      </c>
      <c r="Q10" s="17">
        <v>39234</v>
      </c>
      <c r="R10" s="17">
        <v>39264</v>
      </c>
      <c r="S10" s="17">
        <v>39295</v>
      </c>
      <c r="T10" s="17">
        <v>39326</v>
      </c>
      <c r="U10" s="17">
        <v>39356</v>
      </c>
      <c r="V10" s="17">
        <v>39387</v>
      </c>
      <c r="W10" s="17">
        <v>39417</v>
      </c>
      <c r="X10" s="17">
        <v>39448</v>
      </c>
      <c r="Y10" s="17">
        <v>39479</v>
      </c>
      <c r="Z10" s="17">
        <v>39508</v>
      </c>
      <c r="AA10" s="17">
        <v>39539</v>
      </c>
      <c r="AB10" s="17">
        <v>39569</v>
      </c>
      <c r="AC10" s="17">
        <v>39600</v>
      </c>
      <c r="AD10" s="17">
        <v>39630</v>
      </c>
      <c r="AE10" s="17">
        <v>39661</v>
      </c>
      <c r="AF10" s="17">
        <v>39692</v>
      </c>
      <c r="AG10" s="17">
        <v>39722</v>
      </c>
      <c r="AH10" s="17">
        <v>39753</v>
      </c>
      <c r="AI10" s="17">
        <v>39783</v>
      </c>
      <c r="AJ10" s="17">
        <v>39814</v>
      </c>
      <c r="AK10" s="17">
        <v>39845</v>
      </c>
      <c r="AL10" s="17">
        <v>39873</v>
      </c>
      <c r="AM10" s="17">
        <v>39904</v>
      </c>
      <c r="AN10" s="17">
        <v>39934</v>
      </c>
      <c r="AO10" s="18">
        <v>39965</v>
      </c>
    </row>
    <row r="11" spans="2:42" x14ac:dyDescent="0.3">
      <c r="B11" s="8" t="s">
        <v>28</v>
      </c>
      <c r="C11" s="7" t="s">
        <v>27</v>
      </c>
    </row>
    <row r="12" spans="2:42" x14ac:dyDescent="0.3">
      <c r="B12" s="8" t="s">
        <v>52</v>
      </c>
      <c r="C12" s="7" t="s">
        <v>70</v>
      </c>
    </row>
    <row r="13" spans="2:42" x14ac:dyDescent="0.3">
      <c r="B13" s="8" t="s">
        <v>2</v>
      </c>
      <c r="C13" s="10">
        <v>1000000000</v>
      </c>
    </row>
    <row r="14" spans="2:42" x14ac:dyDescent="0.3">
      <c r="B14" s="11" t="s">
        <v>32</v>
      </c>
      <c r="C14" s="7" t="s">
        <v>21</v>
      </c>
    </row>
    <row r="15" spans="2:42" x14ac:dyDescent="0.3">
      <c r="B15" s="8" t="s">
        <v>3</v>
      </c>
      <c r="C15" s="7" t="s">
        <v>19</v>
      </c>
    </row>
    <row r="16" spans="2:42" x14ac:dyDescent="0.3">
      <c r="B16" s="8" t="s">
        <v>4</v>
      </c>
      <c r="C16" s="7" t="s">
        <v>24</v>
      </c>
    </row>
    <row r="17" spans="2:6" x14ac:dyDescent="0.3">
      <c r="B17" s="8" t="s">
        <v>30</v>
      </c>
      <c r="C17" s="7" t="s">
        <v>71</v>
      </c>
    </row>
    <row r="18" spans="2:6" ht="27" x14ac:dyDescent="0.3">
      <c r="B18" s="11" t="s">
        <v>22</v>
      </c>
      <c r="C18" s="7" t="s">
        <v>25</v>
      </c>
    </row>
    <row r="19" spans="2:6" x14ac:dyDescent="0.3">
      <c r="B19" s="8" t="s">
        <v>5</v>
      </c>
      <c r="C19" s="10">
        <v>992000000</v>
      </c>
    </row>
    <row r="20" spans="2:6" x14ac:dyDescent="0.3">
      <c r="B20" s="8" t="s">
        <v>6</v>
      </c>
      <c r="C20" s="10">
        <v>1000000000</v>
      </c>
    </row>
    <row r="21" spans="2:6" x14ac:dyDescent="0.3">
      <c r="B21" s="8" t="s">
        <v>49</v>
      </c>
      <c r="C21" s="21">
        <v>1</v>
      </c>
    </row>
    <row r="22" spans="2:6" ht="17.25" thickBot="1" x14ac:dyDescent="0.35">
      <c r="B22" s="12" t="s">
        <v>44</v>
      </c>
      <c r="C22" s="13">
        <v>36</v>
      </c>
    </row>
    <row r="23" spans="2:6" ht="17.25" x14ac:dyDescent="0.3">
      <c r="E23" s="24" t="s">
        <v>7</v>
      </c>
      <c r="F23" s="24"/>
    </row>
    <row r="24" spans="2:6" ht="17.25" x14ac:dyDescent="0.3">
      <c r="B24" s="23" t="s">
        <v>14</v>
      </c>
      <c r="C24" s="23"/>
      <c r="E24" s="1" t="s">
        <v>12</v>
      </c>
      <c r="F24" s="1">
        <v>69.917519438151317</v>
      </c>
    </row>
    <row r="25" spans="2:6" x14ac:dyDescent="0.3">
      <c r="B25" s="1" t="s">
        <v>31</v>
      </c>
      <c r="C25" s="2">
        <v>38870</v>
      </c>
      <c r="E25" s="1" t="s">
        <v>59</v>
      </c>
      <c r="F25" s="1">
        <v>0.26880558063421256</v>
      </c>
    </row>
    <row r="26" spans="2:6" x14ac:dyDescent="0.3">
      <c r="B26" s="1" t="s">
        <v>33</v>
      </c>
      <c r="C26" s="4">
        <v>0.3</v>
      </c>
      <c r="E26" s="1" t="s">
        <v>60</v>
      </c>
      <c r="F26" s="1">
        <v>1.0591589001240582</v>
      </c>
    </row>
    <row r="27" spans="2:6" x14ac:dyDescent="0.3">
      <c r="B27" s="1" t="s">
        <v>56</v>
      </c>
      <c r="C27" s="4">
        <v>0.2</v>
      </c>
      <c r="E27" s="1" t="s">
        <v>61</v>
      </c>
      <c r="F27" s="1">
        <v>-1.6237859418472302E-2</v>
      </c>
    </row>
    <row r="28" spans="2:6" x14ac:dyDescent="0.3">
      <c r="B28" s="1" t="s">
        <v>34</v>
      </c>
      <c r="C28" s="4">
        <v>0</v>
      </c>
      <c r="E28" s="1" t="s">
        <v>62</v>
      </c>
      <c r="F28" s="1">
        <v>-2.6801737455923888E-2</v>
      </c>
    </row>
    <row r="29" spans="2:6" x14ac:dyDescent="0.3">
      <c r="B29" s="1" t="s">
        <v>57</v>
      </c>
      <c r="C29" s="4">
        <v>0</v>
      </c>
      <c r="E29" s="1" t="s">
        <v>63</v>
      </c>
      <c r="F29" s="1">
        <v>1.6880309102471628E-2</v>
      </c>
    </row>
    <row r="30" spans="2:6" x14ac:dyDescent="0.3">
      <c r="B30" s="1" t="s">
        <v>55</v>
      </c>
      <c r="C30" s="4">
        <v>0.5</v>
      </c>
      <c r="E30" s="1" t="s">
        <v>10</v>
      </c>
      <c r="F30" s="1">
        <v>0</v>
      </c>
    </row>
    <row r="31" spans="2:6" x14ac:dyDescent="0.3">
      <c r="B31" s="1" t="s">
        <v>18</v>
      </c>
      <c r="C31" s="4">
        <v>0.05</v>
      </c>
      <c r="E31" s="1" t="s">
        <v>11</v>
      </c>
      <c r="F31" s="1">
        <v>7.0295914739816112E-2</v>
      </c>
    </row>
    <row r="32" spans="2:6" x14ac:dyDescent="0.3">
      <c r="B32" s="1" t="s">
        <v>35</v>
      </c>
      <c r="C32" s="1">
        <v>100</v>
      </c>
      <c r="E32" s="1" t="s">
        <v>64</v>
      </c>
      <c r="F32" s="1">
        <v>-0.27277012613328111</v>
      </c>
    </row>
    <row r="33" spans="2:6" x14ac:dyDescent="0.3">
      <c r="B33" s="1" t="s">
        <v>58</v>
      </c>
      <c r="C33" s="1">
        <v>100</v>
      </c>
      <c r="E33" s="1" t="s">
        <v>65</v>
      </c>
      <c r="F33" s="1">
        <v>-0.23584198506921439</v>
      </c>
    </row>
    <row r="35" spans="2:6" x14ac:dyDescent="0.3">
      <c r="B35" s="1" t="s">
        <v>37</v>
      </c>
      <c r="C35" s="1" t="b">
        <v>0</v>
      </c>
    </row>
    <row r="36" spans="2:6" x14ac:dyDescent="0.3">
      <c r="B36" s="1" t="s">
        <v>38</v>
      </c>
      <c r="C36" s="1" t="b">
        <v>0</v>
      </c>
    </row>
    <row r="38" spans="2:6" x14ac:dyDescent="0.3">
      <c r="B38" s="1" t="s">
        <v>40</v>
      </c>
      <c r="C38" s="1">
        <v>100</v>
      </c>
    </row>
    <row r="39" spans="2:6" x14ac:dyDescent="0.3">
      <c r="B39" s="1" t="s">
        <v>66</v>
      </c>
      <c r="C39" s="1">
        <v>100</v>
      </c>
    </row>
  </sheetData>
  <dataConsolidate/>
  <mergeCells count="3">
    <mergeCell ref="B2:C2"/>
    <mergeCell ref="E23:F23"/>
    <mergeCell ref="B24:C24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2:K39"/>
  <sheetViews>
    <sheetView topLeftCell="A7" workbookViewId="0">
      <selection activeCell="C10" sqref="C10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2" spans="2:11" ht="18" thickBot="1" x14ac:dyDescent="0.35">
      <c r="B2" s="23" t="s">
        <v>15</v>
      </c>
      <c r="C2" s="23"/>
      <c r="D2" s="3"/>
      <c r="F2" s="1">
        <v>0</v>
      </c>
      <c r="G2" s="1">
        <v>1</v>
      </c>
      <c r="H2" s="1">
        <v>2</v>
      </c>
      <c r="I2" s="1">
        <v>3</v>
      </c>
      <c r="J2" s="1">
        <v>4</v>
      </c>
      <c r="K2" s="1">
        <v>5</v>
      </c>
    </row>
    <row r="3" spans="2:11" x14ac:dyDescent="0.3">
      <c r="B3" s="5" t="s">
        <v>0</v>
      </c>
      <c r="C3" s="6">
        <v>38869</v>
      </c>
      <c r="D3" s="2"/>
      <c r="E3" s="5" t="s">
        <v>16</v>
      </c>
      <c r="F3" s="14">
        <v>100</v>
      </c>
      <c r="G3" s="14">
        <v>100</v>
      </c>
      <c r="H3" s="14">
        <v>95</v>
      </c>
      <c r="I3" s="14">
        <v>95</v>
      </c>
      <c r="J3" s="14">
        <v>90</v>
      </c>
      <c r="K3" s="15">
        <v>90</v>
      </c>
    </row>
    <row r="4" spans="2:11" x14ac:dyDescent="0.3">
      <c r="B4" s="8" t="s">
        <v>1</v>
      </c>
      <c r="C4" s="9">
        <v>39965</v>
      </c>
      <c r="E4" s="8" t="s">
        <v>46</v>
      </c>
      <c r="F4" s="16">
        <v>5</v>
      </c>
      <c r="G4" s="16">
        <v>10</v>
      </c>
      <c r="H4" s="16">
        <v>15</v>
      </c>
      <c r="I4" s="16">
        <v>20</v>
      </c>
      <c r="J4" s="16">
        <v>25</v>
      </c>
      <c r="K4" s="7">
        <v>30</v>
      </c>
    </row>
    <row r="5" spans="2:11" ht="17.25" thickBot="1" x14ac:dyDescent="0.35">
      <c r="B5" s="8" t="s">
        <v>17</v>
      </c>
      <c r="C5" s="7">
        <v>10</v>
      </c>
      <c r="E5" s="12" t="s">
        <v>41</v>
      </c>
      <c r="F5" s="17">
        <v>39052</v>
      </c>
      <c r="G5" s="17">
        <v>39234</v>
      </c>
      <c r="H5" s="17">
        <v>39417</v>
      </c>
      <c r="I5" s="17">
        <v>39600</v>
      </c>
      <c r="J5" s="17">
        <v>39783</v>
      </c>
      <c r="K5" s="18">
        <v>39965</v>
      </c>
    </row>
    <row r="6" spans="2:11" x14ac:dyDescent="0.3">
      <c r="B6" s="11" t="s">
        <v>23</v>
      </c>
      <c r="C6" s="7">
        <v>60</v>
      </c>
    </row>
    <row r="7" spans="2:11" x14ac:dyDescent="0.3">
      <c r="B7" s="11" t="s">
        <v>50</v>
      </c>
      <c r="C7" s="7" t="s">
        <v>39</v>
      </c>
    </row>
    <row r="8" spans="2:11" x14ac:dyDescent="0.3">
      <c r="B8" s="11" t="s">
        <v>26</v>
      </c>
      <c r="C8" s="7">
        <v>6</v>
      </c>
    </row>
    <row r="9" spans="2:11" x14ac:dyDescent="0.3">
      <c r="B9" s="8" t="s">
        <v>36</v>
      </c>
      <c r="C9" s="7">
        <v>5</v>
      </c>
    </row>
    <row r="10" spans="2:11" x14ac:dyDescent="0.3">
      <c r="B10" s="8" t="s">
        <v>29</v>
      </c>
      <c r="C10" s="7">
        <v>2</v>
      </c>
    </row>
    <row r="11" spans="2:11" x14ac:dyDescent="0.3">
      <c r="B11" s="8" t="s">
        <v>28</v>
      </c>
      <c r="C11" s="7" t="s">
        <v>27</v>
      </c>
    </row>
    <row r="12" spans="2:11" x14ac:dyDescent="0.3">
      <c r="B12" s="8" t="s">
        <v>52</v>
      </c>
      <c r="C12" s="7" t="s">
        <v>73</v>
      </c>
    </row>
    <row r="13" spans="2:11" x14ac:dyDescent="0.3">
      <c r="B13" s="8" t="s">
        <v>2</v>
      </c>
      <c r="C13" s="10">
        <v>1000000000</v>
      </c>
    </row>
    <row r="14" spans="2:11" x14ac:dyDescent="0.3">
      <c r="B14" s="11" t="s">
        <v>32</v>
      </c>
      <c r="C14" s="7" t="s">
        <v>21</v>
      </c>
    </row>
    <row r="15" spans="2:11" x14ac:dyDescent="0.3">
      <c r="B15" s="8" t="s">
        <v>3</v>
      </c>
      <c r="C15" s="7" t="s">
        <v>19</v>
      </c>
    </row>
    <row r="16" spans="2:11" x14ac:dyDescent="0.3">
      <c r="B16" s="8" t="s">
        <v>4</v>
      </c>
      <c r="C16" s="7" t="s">
        <v>24</v>
      </c>
    </row>
    <row r="17" spans="2:6" x14ac:dyDescent="0.3">
      <c r="B17" s="8" t="s">
        <v>30</v>
      </c>
      <c r="C17" s="7" t="s">
        <v>74</v>
      </c>
    </row>
    <row r="18" spans="2:6" ht="27" x14ac:dyDescent="0.3">
      <c r="B18" s="11" t="s">
        <v>22</v>
      </c>
      <c r="C18" s="7" t="s">
        <v>25</v>
      </c>
    </row>
    <row r="19" spans="2:6" x14ac:dyDescent="0.3">
      <c r="B19" s="8" t="s">
        <v>5</v>
      </c>
      <c r="C19" s="10">
        <v>992000000</v>
      </c>
    </row>
    <row r="20" spans="2:6" x14ac:dyDescent="0.3">
      <c r="B20" s="8" t="s">
        <v>6</v>
      </c>
      <c r="C20" s="10">
        <v>1000000000</v>
      </c>
    </row>
    <row r="21" spans="2:6" x14ac:dyDescent="0.3">
      <c r="B21" s="8" t="s">
        <v>49</v>
      </c>
      <c r="C21" s="21">
        <v>1</v>
      </c>
    </row>
    <row r="22" spans="2:6" ht="17.25" thickBot="1" x14ac:dyDescent="0.35">
      <c r="B22" s="12" t="s">
        <v>44</v>
      </c>
      <c r="C22" s="13" t="s">
        <v>39</v>
      </c>
    </row>
    <row r="23" spans="2:6" ht="17.25" x14ac:dyDescent="0.3">
      <c r="E23" s="24" t="s">
        <v>7</v>
      </c>
      <c r="F23" s="24"/>
    </row>
    <row r="24" spans="2:6" ht="17.25" x14ac:dyDescent="0.3">
      <c r="B24" s="23" t="s">
        <v>14</v>
      </c>
      <c r="C24" s="23"/>
      <c r="E24" s="1" t="s">
        <v>12</v>
      </c>
      <c r="F24" s="1">
        <v>92.482257968377752</v>
      </c>
    </row>
    <row r="25" spans="2:6" x14ac:dyDescent="0.3">
      <c r="B25" s="1" t="s">
        <v>31</v>
      </c>
      <c r="C25" s="2">
        <v>38870</v>
      </c>
      <c r="E25" s="1" t="s">
        <v>59</v>
      </c>
      <c r="F25" s="1">
        <v>5.2104520093584759E-2</v>
      </c>
    </row>
    <row r="26" spans="2:6" x14ac:dyDescent="0.3">
      <c r="B26" s="1" t="s">
        <v>33</v>
      </c>
      <c r="C26" s="4">
        <v>0.3</v>
      </c>
      <c r="E26" s="1" t="s">
        <v>60</v>
      </c>
      <c r="F26" s="1">
        <v>0.28285260347515384</v>
      </c>
    </row>
    <row r="27" spans="2:6" x14ac:dyDescent="0.3">
      <c r="B27" s="1" t="s">
        <v>56</v>
      </c>
      <c r="C27" s="4">
        <v>0.2</v>
      </c>
      <c r="E27" s="1" t="s">
        <v>61</v>
      </c>
      <c r="F27" s="1">
        <v>-2.4181296216855483E-3</v>
      </c>
    </row>
    <row r="28" spans="2:6" x14ac:dyDescent="0.3">
      <c r="B28" s="1" t="s">
        <v>34</v>
      </c>
      <c r="C28" s="4">
        <v>0</v>
      </c>
      <c r="E28" s="1" t="s">
        <v>62</v>
      </c>
      <c r="F28" s="1">
        <v>-8.1353091196880248E-4</v>
      </c>
    </row>
    <row r="29" spans="2:6" x14ac:dyDescent="0.3">
      <c r="B29" s="1" t="s">
        <v>57</v>
      </c>
      <c r="C29" s="4">
        <v>0</v>
      </c>
      <c r="E29" s="1" t="s">
        <v>63</v>
      </c>
      <c r="F29" s="1">
        <v>3.9698236798828487E-3</v>
      </c>
    </row>
    <row r="30" spans="2:6" x14ac:dyDescent="0.3">
      <c r="B30" s="1" t="s">
        <v>55</v>
      </c>
      <c r="C30" s="4">
        <v>0.5</v>
      </c>
      <c r="E30" s="1" t="s">
        <v>10</v>
      </c>
      <c r="F30" s="1">
        <v>0</v>
      </c>
    </row>
    <row r="31" spans="2:6" x14ac:dyDescent="0.3">
      <c r="B31" s="1" t="s">
        <v>18</v>
      </c>
      <c r="C31" s="4">
        <v>0.05</v>
      </c>
      <c r="E31" s="1" t="s">
        <v>11</v>
      </c>
      <c r="F31" s="1">
        <v>2.3745958481285356E-2</v>
      </c>
    </row>
    <row r="32" spans="2:6" x14ac:dyDescent="0.3">
      <c r="B32" s="1" t="s">
        <v>35</v>
      </c>
      <c r="C32" s="1">
        <v>100</v>
      </c>
      <c r="E32" s="1" t="s">
        <v>64</v>
      </c>
      <c r="F32" s="1">
        <v>-2.1298861247302625E-2</v>
      </c>
    </row>
    <row r="33" spans="2:6" x14ac:dyDescent="0.3">
      <c r="B33" s="1" t="s">
        <v>58</v>
      </c>
      <c r="C33" s="1">
        <v>100</v>
      </c>
      <c r="E33" s="1" t="s">
        <v>65</v>
      </c>
      <c r="F33" s="1">
        <v>0.20036478956427572</v>
      </c>
    </row>
    <row r="35" spans="2:6" x14ac:dyDescent="0.3">
      <c r="B35" s="1" t="s">
        <v>37</v>
      </c>
      <c r="C35" s="1" t="b">
        <v>0</v>
      </c>
    </row>
    <row r="36" spans="2:6" x14ac:dyDescent="0.3">
      <c r="B36" s="1" t="s">
        <v>38</v>
      </c>
      <c r="C36" s="1" t="b">
        <v>0</v>
      </c>
    </row>
    <row r="38" spans="2:6" x14ac:dyDescent="0.3">
      <c r="B38" s="1" t="s">
        <v>40</v>
      </c>
      <c r="C38" s="1">
        <v>100</v>
      </c>
    </row>
    <row r="39" spans="2:6" x14ac:dyDescent="0.3">
      <c r="B39" s="1" t="s">
        <v>66</v>
      </c>
      <c r="C39" s="1">
        <v>100</v>
      </c>
    </row>
  </sheetData>
  <dataConsolidate/>
  <mergeCells count="3">
    <mergeCell ref="B2:C2"/>
    <mergeCell ref="E23:F23"/>
    <mergeCell ref="B24:C24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K27"/>
  <sheetViews>
    <sheetView workbookViewId="0">
      <selection activeCell="I14" sqref="I14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1" spans="2:11" x14ac:dyDescent="0.3">
      <c r="E1"/>
      <c r="F1"/>
      <c r="G1"/>
    </row>
    <row r="2" spans="2:11" ht="18" thickBot="1" x14ac:dyDescent="0.35">
      <c r="B2" s="23" t="s">
        <v>15</v>
      </c>
      <c r="C2" s="23"/>
      <c r="D2" s="3"/>
      <c r="E2"/>
      <c r="F2"/>
      <c r="G2"/>
    </row>
    <row r="3" spans="2:11" x14ac:dyDescent="0.3">
      <c r="B3" s="5" t="s">
        <v>0</v>
      </c>
      <c r="C3" s="6">
        <v>38869</v>
      </c>
      <c r="D3" s="2"/>
      <c r="E3"/>
      <c r="F3"/>
      <c r="G3"/>
    </row>
    <row r="4" spans="2:11" x14ac:dyDescent="0.3">
      <c r="B4" s="8" t="s">
        <v>1</v>
      </c>
      <c r="C4" s="9">
        <v>39233</v>
      </c>
      <c r="E4"/>
      <c r="F4"/>
      <c r="G4"/>
    </row>
    <row r="5" spans="2:11" x14ac:dyDescent="0.3">
      <c r="B5" s="8" t="s">
        <v>17</v>
      </c>
      <c r="C5" s="7">
        <v>10</v>
      </c>
      <c r="E5"/>
      <c r="F5"/>
      <c r="G5"/>
    </row>
    <row r="6" spans="2:11" x14ac:dyDescent="0.3">
      <c r="B6" s="11" t="s">
        <v>50</v>
      </c>
      <c r="C6" s="7">
        <v>230</v>
      </c>
      <c r="E6"/>
      <c r="F6"/>
      <c r="G6"/>
    </row>
    <row r="7" spans="2:11" x14ac:dyDescent="0.3">
      <c r="B7" s="8" t="s">
        <v>36</v>
      </c>
      <c r="C7" s="7">
        <v>5</v>
      </c>
    </row>
    <row r="8" spans="2:11" x14ac:dyDescent="0.3">
      <c r="B8" s="8" t="s">
        <v>96</v>
      </c>
      <c r="C8" s="7">
        <v>200</v>
      </c>
    </row>
    <row r="9" spans="2:11" x14ac:dyDescent="0.3">
      <c r="B9" s="8" t="s">
        <v>97</v>
      </c>
      <c r="C9" s="7">
        <v>1.5</v>
      </c>
    </row>
    <row r="10" spans="2:11" x14ac:dyDescent="0.3">
      <c r="B10" s="8" t="s">
        <v>79</v>
      </c>
      <c r="C10" s="7" t="s">
        <v>27</v>
      </c>
    </row>
    <row r="11" spans="2:11" x14ac:dyDescent="0.3">
      <c r="B11" s="8" t="s">
        <v>2</v>
      </c>
      <c r="C11" s="10">
        <v>1000000000</v>
      </c>
    </row>
    <row r="12" spans="2:11" x14ac:dyDescent="0.3">
      <c r="B12" s="11" t="s">
        <v>32</v>
      </c>
      <c r="C12" s="7" t="s">
        <v>21</v>
      </c>
    </row>
    <row r="13" spans="2:11" x14ac:dyDescent="0.3">
      <c r="B13" s="8" t="s">
        <v>3</v>
      </c>
      <c r="C13" s="7" t="s">
        <v>19</v>
      </c>
    </row>
    <row r="14" spans="2:11" s="1" customFormat="1" x14ac:dyDescent="0.3">
      <c r="B14" s="8" t="s">
        <v>4</v>
      </c>
      <c r="C14" s="7" t="s">
        <v>24</v>
      </c>
      <c r="H14"/>
      <c r="I14"/>
      <c r="J14"/>
      <c r="K14"/>
    </row>
    <row r="15" spans="2:11" s="1" customFormat="1" x14ac:dyDescent="0.3">
      <c r="B15" s="8" t="s">
        <v>30</v>
      </c>
      <c r="C15" s="7" t="s">
        <v>94</v>
      </c>
      <c r="H15"/>
      <c r="I15"/>
      <c r="J15"/>
      <c r="K15"/>
    </row>
    <row r="16" spans="2:11" s="1" customFormat="1" ht="27" x14ac:dyDescent="0.3">
      <c r="B16" s="11" t="s">
        <v>95</v>
      </c>
      <c r="C16" s="7" t="s">
        <v>93</v>
      </c>
      <c r="H16"/>
      <c r="I16"/>
      <c r="J16"/>
      <c r="K16"/>
    </row>
    <row r="17" spans="2:11" s="1" customFormat="1" x14ac:dyDescent="0.3">
      <c r="B17" s="8" t="s">
        <v>5</v>
      </c>
      <c r="C17" s="10">
        <v>992000000</v>
      </c>
      <c r="H17"/>
      <c r="I17"/>
      <c r="J17"/>
      <c r="K17"/>
    </row>
    <row r="18" spans="2:11" s="1" customFormat="1" x14ac:dyDescent="0.3">
      <c r="B18" s="8" t="s">
        <v>6</v>
      </c>
      <c r="C18" s="10">
        <v>1000000000</v>
      </c>
      <c r="H18"/>
      <c r="I18"/>
      <c r="J18"/>
      <c r="K18"/>
    </row>
    <row r="19" spans="2:11" s="1" customFormat="1" ht="17.25" thickBot="1" x14ac:dyDescent="0.35">
      <c r="B19" s="12"/>
      <c r="C19" s="13"/>
      <c r="H19"/>
      <c r="I19"/>
      <c r="J19"/>
      <c r="K19"/>
    </row>
    <row r="20" spans="2:11" s="1" customFormat="1" x14ac:dyDescent="0.3">
      <c r="H20"/>
      <c r="I20"/>
      <c r="J20"/>
      <c r="K20"/>
    </row>
    <row r="21" spans="2:11" s="1" customFormat="1" ht="17.25" x14ac:dyDescent="0.3">
      <c r="B21" s="23" t="s">
        <v>14</v>
      </c>
      <c r="C21" s="23"/>
      <c r="E21" s="24" t="s">
        <v>7</v>
      </c>
      <c r="F21" s="24"/>
      <c r="H21"/>
      <c r="I21"/>
      <c r="J21"/>
      <c r="K21"/>
    </row>
    <row r="22" spans="2:11" s="1" customFormat="1" x14ac:dyDescent="0.3">
      <c r="B22" s="1" t="s">
        <v>31</v>
      </c>
      <c r="C22" s="2">
        <v>38870</v>
      </c>
      <c r="E22" s="1" t="s">
        <v>12</v>
      </c>
      <c r="F22" s="1">
        <v>95.628258637586569</v>
      </c>
      <c r="H22"/>
      <c r="I22"/>
      <c r="J22"/>
      <c r="K22"/>
    </row>
    <row r="23" spans="2:11" s="1" customFormat="1" x14ac:dyDescent="0.3">
      <c r="B23" s="1" t="s">
        <v>82</v>
      </c>
      <c r="C23" s="4">
        <v>0.3</v>
      </c>
      <c r="E23" s="1" t="s">
        <v>8</v>
      </c>
      <c r="F23" s="1">
        <v>7.0805861069253087E-2</v>
      </c>
      <c r="H23"/>
      <c r="I23"/>
      <c r="J23"/>
      <c r="K23"/>
    </row>
    <row r="24" spans="2:11" s="1" customFormat="1" x14ac:dyDescent="0.3">
      <c r="B24" s="1" t="s">
        <v>83</v>
      </c>
      <c r="C24" s="4">
        <v>0</v>
      </c>
      <c r="E24" s="1" t="s">
        <v>9</v>
      </c>
      <c r="F24" s="1">
        <v>-9.1308039931042861E-5</v>
      </c>
      <c r="H24"/>
      <c r="I24"/>
      <c r="J24"/>
      <c r="K24"/>
    </row>
    <row r="25" spans="2:11" x14ac:dyDescent="0.3">
      <c r="B25" s="1" t="s">
        <v>18</v>
      </c>
      <c r="C25" s="4">
        <v>0.05</v>
      </c>
      <c r="E25" s="1" t="s">
        <v>10</v>
      </c>
      <c r="F25" s="1">
        <v>2.3661874066242684E-2</v>
      </c>
    </row>
    <row r="26" spans="2:11" x14ac:dyDescent="0.3">
      <c r="B26" s="1" t="s">
        <v>84</v>
      </c>
      <c r="C26" s="1">
        <v>200</v>
      </c>
      <c r="E26" s="1" t="s">
        <v>11</v>
      </c>
      <c r="F26" s="1">
        <v>-7.7360069908855239E-4</v>
      </c>
    </row>
    <row r="27" spans="2:11" x14ac:dyDescent="0.3">
      <c r="E27" s="1" t="s">
        <v>13</v>
      </c>
      <c r="F27" s="1">
        <v>1.0833774005253321E-2</v>
      </c>
    </row>
  </sheetData>
  <dataConsolidate/>
  <mergeCells count="3">
    <mergeCell ref="B2:C2"/>
    <mergeCell ref="E21:F21"/>
    <mergeCell ref="B21:C21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K27"/>
  <sheetViews>
    <sheetView workbookViewId="0">
      <selection activeCell="I26" sqref="I26"/>
    </sheetView>
  </sheetViews>
  <sheetFormatPr defaultRowHeight="16.5" x14ac:dyDescent="0.3"/>
  <cols>
    <col min="1" max="1" width="3.125" style="1" customWidth="1"/>
    <col min="2" max="2" width="21.625" style="1" customWidth="1"/>
    <col min="3" max="3" width="17.875" style="1" customWidth="1"/>
    <col min="4" max="4" width="2.625" style="1" customWidth="1"/>
    <col min="5" max="5" width="16.625" style="1" customWidth="1"/>
    <col min="6" max="7" width="9.75" style="1" bestFit="1" customWidth="1"/>
    <col min="8" max="11" width="9.75" bestFit="1" customWidth="1"/>
  </cols>
  <sheetData>
    <row r="1" spans="2:11" x14ac:dyDescent="0.3">
      <c r="E1"/>
      <c r="F1"/>
      <c r="G1"/>
    </row>
    <row r="2" spans="2:11" ht="18" thickBot="1" x14ac:dyDescent="0.35">
      <c r="B2" s="23" t="s">
        <v>15</v>
      </c>
      <c r="C2" s="23"/>
      <c r="D2" s="3"/>
      <c r="E2"/>
      <c r="F2"/>
      <c r="G2"/>
    </row>
    <row r="3" spans="2:11" x14ac:dyDescent="0.3">
      <c r="B3" s="5" t="s">
        <v>0</v>
      </c>
      <c r="C3" s="6">
        <v>38869</v>
      </c>
      <c r="D3" s="2"/>
      <c r="E3"/>
      <c r="F3"/>
      <c r="G3"/>
    </row>
    <row r="4" spans="2:11" x14ac:dyDescent="0.3">
      <c r="B4" s="8" t="s">
        <v>1</v>
      </c>
      <c r="C4" s="9">
        <v>39233</v>
      </c>
      <c r="E4"/>
      <c r="F4"/>
      <c r="G4"/>
    </row>
    <row r="5" spans="2:11" x14ac:dyDescent="0.3">
      <c r="B5" s="8" t="s">
        <v>17</v>
      </c>
      <c r="C5" s="7">
        <v>10</v>
      </c>
      <c r="E5"/>
      <c r="F5"/>
      <c r="G5"/>
    </row>
    <row r="6" spans="2:11" x14ac:dyDescent="0.3">
      <c r="B6" s="11" t="s">
        <v>50</v>
      </c>
      <c r="C6" s="7">
        <v>180</v>
      </c>
      <c r="E6"/>
      <c r="F6"/>
      <c r="G6"/>
    </row>
    <row r="7" spans="2:11" x14ac:dyDescent="0.3">
      <c r="B7" s="8" t="s">
        <v>36</v>
      </c>
      <c r="C7" s="7">
        <v>5</v>
      </c>
    </row>
    <row r="8" spans="2:11" x14ac:dyDescent="0.3">
      <c r="B8" s="8" t="s">
        <v>96</v>
      </c>
      <c r="C8" s="7">
        <v>200</v>
      </c>
    </row>
    <row r="9" spans="2:11" x14ac:dyDescent="0.3">
      <c r="B9" s="8" t="s">
        <v>97</v>
      </c>
      <c r="C9" s="7">
        <v>1.5</v>
      </c>
    </row>
    <row r="10" spans="2:11" x14ac:dyDescent="0.3">
      <c r="B10" s="8" t="s">
        <v>79</v>
      </c>
      <c r="C10" s="7" t="s">
        <v>27</v>
      </c>
    </row>
    <row r="11" spans="2:11" x14ac:dyDescent="0.3">
      <c r="B11" s="8" t="s">
        <v>2</v>
      </c>
      <c r="C11" s="10">
        <v>1000000000</v>
      </c>
    </row>
    <row r="12" spans="2:11" x14ac:dyDescent="0.3">
      <c r="B12" s="11" t="s">
        <v>32</v>
      </c>
      <c r="C12" s="7" t="s">
        <v>21</v>
      </c>
    </row>
    <row r="13" spans="2:11" x14ac:dyDescent="0.3">
      <c r="B13" s="8" t="s">
        <v>3</v>
      </c>
      <c r="C13" s="7" t="s">
        <v>19</v>
      </c>
    </row>
    <row r="14" spans="2:11" s="1" customFormat="1" x14ac:dyDescent="0.3">
      <c r="B14" s="8" t="s">
        <v>4</v>
      </c>
      <c r="C14" s="7" t="s">
        <v>24</v>
      </c>
      <c r="H14"/>
      <c r="I14"/>
      <c r="J14"/>
      <c r="K14"/>
    </row>
    <row r="15" spans="2:11" s="1" customFormat="1" x14ac:dyDescent="0.3">
      <c r="B15" s="8" t="s">
        <v>30</v>
      </c>
      <c r="C15" s="7" t="s">
        <v>98</v>
      </c>
      <c r="H15"/>
      <c r="I15"/>
      <c r="J15"/>
      <c r="K15"/>
    </row>
    <row r="16" spans="2:11" s="1" customFormat="1" ht="27" x14ac:dyDescent="0.3">
      <c r="B16" s="11" t="s">
        <v>92</v>
      </c>
      <c r="C16" s="7" t="s">
        <v>93</v>
      </c>
      <c r="H16"/>
      <c r="I16"/>
      <c r="J16"/>
      <c r="K16"/>
    </row>
    <row r="17" spans="2:11" s="1" customFormat="1" x14ac:dyDescent="0.3">
      <c r="B17" s="8" t="s">
        <v>5</v>
      </c>
      <c r="C17" s="10">
        <v>992000000</v>
      </c>
      <c r="H17"/>
      <c r="I17"/>
      <c r="J17"/>
      <c r="K17"/>
    </row>
    <row r="18" spans="2:11" s="1" customFormat="1" x14ac:dyDescent="0.3">
      <c r="B18" s="8" t="s">
        <v>6</v>
      </c>
      <c r="C18" s="10">
        <v>1000000000</v>
      </c>
      <c r="H18"/>
      <c r="I18"/>
      <c r="J18"/>
      <c r="K18"/>
    </row>
    <row r="19" spans="2:11" s="1" customFormat="1" ht="17.25" thickBot="1" x14ac:dyDescent="0.35">
      <c r="B19" s="12"/>
      <c r="C19" s="13"/>
      <c r="H19"/>
      <c r="I19"/>
      <c r="J19"/>
      <c r="K19"/>
    </row>
    <row r="20" spans="2:11" s="1" customFormat="1" x14ac:dyDescent="0.3">
      <c r="H20"/>
      <c r="I20"/>
      <c r="J20"/>
      <c r="K20"/>
    </row>
    <row r="21" spans="2:11" s="1" customFormat="1" ht="17.25" x14ac:dyDescent="0.3">
      <c r="B21" s="23" t="s">
        <v>14</v>
      </c>
      <c r="C21" s="23"/>
      <c r="E21" s="24" t="s">
        <v>7</v>
      </c>
      <c r="F21" s="24"/>
      <c r="H21"/>
      <c r="I21"/>
      <c r="J21"/>
      <c r="K21"/>
    </row>
    <row r="22" spans="2:11" s="1" customFormat="1" x14ac:dyDescent="0.3">
      <c r="B22" s="1" t="s">
        <v>31</v>
      </c>
      <c r="C22" s="2">
        <v>38870</v>
      </c>
      <c r="E22" s="1" t="s">
        <v>12</v>
      </c>
      <c r="F22" s="1">
        <v>95.831149133722164</v>
      </c>
      <c r="H22"/>
      <c r="I22"/>
      <c r="J22"/>
      <c r="K22"/>
    </row>
    <row r="23" spans="2:11" s="1" customFormat="1" x14ac:dyDescent="0.3">
      <c r="B23" s="1" t="s">
        <v>82</v>
      </c>
      <c r="C23" s="4">
        <v>0.3</v>
      </c>
      <c r="E23" s="1" t="s">
        <v>8</v>
      </c>
      <c r="F23" s="1">
        <v>-8.3877035061683564E-2</v>
      </c>
      <c r="H23"/>
      <c r="I23"/>
      <c r="J23"/>
      <c r="K23"/>
    </row>
    <row r="24" spans="2:11" s="1" customFormat="1" x14ac:dyDescent="0.3">
      <c r="B24" s="1" t="s">
        <v>83</v>
      </c>
      <c r="C24" s="4">
        <v>0</v>
      </c>
      <c r="E24" s="1" t="s">
        <v>9</v>
      </c>
      <c r="F24" s="1">
        <v>8.7324510093696184E-4</v>
      </c>
      <c r="H24"/>
      <c r="I24"/>
      <c r="J24"/>
      <c r="K24"/>
    </row>
    <row r="25" spans="2:11" x14ac:dyDescent="0.3">
      <c r="B25" s="1" t="s">
        <v>18</v>
      </c>
      <c r="C25" s="4">
        <v>0.05</v>
      </c>
      <c r="E25" s="1" t="s">
        <v>10</v>
      </c>
      <c r="F25" s="1">
        <v>-0.11457246367002487</v>
      </c>
    </row>
    <row r="26" spans="2:11" x14ac:dyDescent="0.3">
      <c r="B26" s="1" t="s">
        <v>84</v>
      </c>
      <c r="C26" s="1">
        <v>200</v>
      </c>
      <c r="E26" s="1" t="s">
        <v>11</v>
      </c>
      <c r="F26" s="1">
        <v>-1.2415233143065702E-3</v>
      </c>
    </row>
    <row r="27" spans="2:11" x14ac:dyDescent="0.3">
      <c r="E27" s="1" t="s">
        <v>13</v>
      </c>
      <c r="F27" s="1">
        <v>6.82357057682631E-2</v>
      </c>
    </row>
  </sheetData>
  <dataConsolidate/>
  <mergeCells count="3">
    <mergeCell ref="B2:C2"/>
    <mergeCell ref="B21:C21"/>
    <mergeCell ref="E21:F21"/>
  </mergeCells>
  <phoneticPr fontId="1" type="noConversion"/>
  <pageMargins left="0.7" right="0.7" top="0.75" bottom="0.75" header="0.3" footer="0.3"/>
  <pageSetup paperSize="9" scale="9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VanillaOption</vt:lpstr>
      <vt:lpstr>BarrierOption</vt:lpstr>
      <vt:lpstr>1StockSD_LB(KI)</vt:lpstr>
      <vt:lpstr>1StockSD_NoKI</vt:lpstr>
      <vt:lpstr>1StockSD_LBCoupon</vt:lpstr>
      <vt:lpstr>1StockSD_LBPG(KI)</vt:lpstr>
      <vt:lpstr>1StockSD_LBUB</vt:lpstr>
      <vt:lpstr>2StockSD_LB(KI)</vt:lpstr>
      <vt:lpstr>2StockSD_NoKI</vt:lpstr>
      <vt:lpstr>2StockSD_LBCoupon</vt:lpstr>
      <vt:lpstr>2StockSD_LBPG(KI)</vt:lpstr>
      <vt:lpstr>UOCall_Rebate</vt:lpstr>
      <vt:lpstr>DOPut_Rebate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영업</dc:creator>
  <cp:lastModifiedBy>영업</cp:lastModifiedBy>
  <cp:lastPrinted>2015-03-22T23:39:49Z</cp:lastPrinted>
  <dcterms:created xsi:type="dcterms:W3CDTF">2015-03-05T07:09:56Z</dcterms:created>
  <dcterms:modified xsi:type="dcterms:W3CDTF">2015-03-24T00:40:51Z</dcterms:modified>
</cp:coreProperties>
</file>